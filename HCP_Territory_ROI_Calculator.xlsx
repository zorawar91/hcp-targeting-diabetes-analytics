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gment ROI" sheetId="3" state="visible" r:id="rId3"/>
    <sheet xmlns:r="http://schemas.openxmlformats.org/officeDocument/2006/relationships" name="Territory Compare" sheetId="4" state="visible" r:id="rId4"/>
    <sheet xmlns:r="http://schemas.openxmlformats.org/officeDocument/2006/relationships" name="Scenario Analysis" sheetId="5" state="visible" r:id="rId5"/>
    <sheet xmlns:r="http://schemas.openxmlformats.org/officeDocument/2006/relationships" name="Priority Matrix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0.0%"/>
    <numFmt numFmtId="166" formatCode="\$#,##0;&quot;($&quot;#,##0\);\-"/>
    <numFmt numFmtId="167" formatCode="0.0%;\(0.0%\);\-"/>
    <numFmt numFmtId="168" formatCode="0.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i val="1"/>
      <color rgb="FFFFFFFF"/>
      <sz val="13"/>
    </font>
    <font>
      <name val="Arial"/>
      <charset val="1"/>
      <family val="0"/>
      <i val="1"/>
      <color rgb="FF374151"/>
      <sz val="11"/>
    </font>
    <font>
      <name val="Arial"/>
      <charset val="1"/>
      <family val="0"/>
      <b val="1"/>
      <color rgb="FF003DA5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3DA5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FF"/>
      <sz val="14"/>
    </font>
    <font>
      <name val="Arial"/>
      <charset val="1"/>
      <family val="0"/>
      <color rgb="FF000000"/>
      <sz val="14"/>
    </font>
    <font>
      <name val="Arial"/>
      <charset val="1"/>
      <family val="0"/>
      <color rgb="FF008000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0000FF"/>
      <sz val="11"/>
    </font>
    <font>
      <name val="Arial"/>
      <charset val="1"/>
      <family val="0"/>
      <i val="1"/>
      <color rgb="FF888888"/>
      <sz val="10"/>
    </font>
    <font>
      <name val="Arial"/>
      <charset val="1"/>
      <family val="0"/>
      <b val="1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374151"/>
      <sz val="10"/>
    </font>
  </fonts>
  <fills count="15">
    <fill>
      <patternFill/>
    </fill>
    <fill>
      <patternFill patternType="gray125"/>
    </fill>
    <fill>
      <patternFill patternType="solid">
        <fgColor rgb="FF003DA5"/>
        <bgColor rgb="FF005BAA"/>
      </patternFill>
    </fill>
    <fill>
      <patternFill patternType="solid">
        <fgColor rgb="FFF5F5F7"/>
        <bgColor rgb="FFEDFBF1"/>
      </patternFill>
    </fill>
    <fill>
      <patternFill patternType="solid">
        <fgColor rgb="FF005BAA"/>
        <bgColor rgb="FF0070C0"/>
      </patternFill>
    </fill>
    <fill>
      <patternFill patternType="solid">
        <fgColor rgb="FFFFFFFF"/>
        <bgColor rgb="FFFFF8ED"/>
      </patternFill>
    </fill>
    <fill>
      <patternFill patternType="solid">
        <fgColor rgb="FFFFF0EF"/>
        <bgColor rgb="FFFFF8ED"/>
      </patternFill>
    </fill>
    <fill>
      <patternFill patternType="solid">
        <fgColor rgb="FFEDFBF1"/>
        <bgColor rgb="FFF5F5F7"/>
      </patternFill>
    </fill>
    <fill>
      <patternFill patternType="solid">
        <fgColor rgb="FFFFF8ED"/>
        <bgColor rgb="FFFFF0EF"/>
      </patternFill>
    </fill>
    <fill>
      <patternFill patternType="solid">
        <fgColor rgb="FF374151"/>
        <bgColor rgb="FF333399"/>
      </patternFill>
    </fill>
    <fill>
      <patternFill patternType="solid">
        <fgColor rgb="FFE3EEFB"/>
        <bgColor rgb="FFF5F5F7"/>
      </patternFill>
    </fill>
    <fill>
      <patternFill patternType="solid">
        <fgColor rgb="FF0070C0"/>
        <bgColor rgb="FF005BAA"/>
      </patternFill>
    </fill>
    <fill>
      <patternFill patternType="solid">
        <fgColor rgb="FF1A7EC2"/>
        <bgColor rgb="FF0070C0"/>
      </patternFill>
    </fill>
    <fill>
      <patternFill patternType="solid">
        <fgColor rgb="FF1A7F38"/>
        <bgColor rgb="FF008000"/>
      </patternFill>
    </fill>
    <fill>
      <patternFill patternType="solid">
        <fgColor rgb="FFC62828"/>
        <bgColor rgb="FF99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164" fontId="16" fillId="5" borderId="1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left" vertical="center" wrapText="1"/>
    </xf>
    <xf numFmtId="3" fontId="16" fillId="5" borderId="1" applyAlignment="1" pivotButton="0" quotePrefix="0" xfId="0">
      <alignment horizontal="center" vertical="center" wrapText="1"/>
    </xf>
    <xf numFmtId="165" fontId="16" fillId="5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general" vertical="bottom"/>
    </xf>
    <xf numFmtId="0" fontId="17" fillId="3" borderId="0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3" fontId="20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167" fontId="8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3" fontId="20" fillId="7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center" vertical="center" wrapText="1"/>
    </xf>
    <xf numFmtId="167" fontId="8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3" fontId="20" fillId="8" borderId="1" applyAlignment="1" pivotButton="0" quotePrefix="0" xfId="0">
      <alignment horizontal="center" vertical="center" wrapText="1"/>
    </xf>
    <xf numFmtId="3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166" fontId="8" fillId="8" borderId="1" applyAlignment="1" pivotButton="0" quotePrefix="0" xfId="0">
      <alignment horizontal="center" vertical="center" wrapText="1"/>
    </xf>
    <xf numFmtId="167" fontId="8" fillId="8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3" fontId="20" fillId="3" borderId="1" applyAlignment="1" pivotButton="0" quotePrefix="0" xfId="0">
      <alignment horizontal="center" vertical="center" wrapText="1"/>
    </xf>
    <xf numFmtId="3" fontId="8" fillId="3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8" fillId="3" borderId="1" applyAlignment="1" pivotButton="0" quotePrefix="0" xfId="0">
      <alignment horizontal="center" vertical="center" wrapText="1"/>
    </xf>
    <xf numFmtId="167" fontId="8" fillId="3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3" fontId="19" fillId="9" borderId="1" applyAlignment="1" pivotButton="0" quotePrefix="0" xfId="0">
      <alignment horizontal="center" vertical="center" wrapText="1"/>
    </xf>
    <xf numFmtId="164" fontId="19" fillId="9" borderId="1" applyAlignment="1" pivotButton="0" quotePrefix="0" xfId="0">
      <alignment horizontal="center" vertical="center" wrapText="1"/>
    </xf>
    <xf numFmtId="166" fontId="19" fillId="9" borderId="1" applyAlignment="1" pivotButton="0" quotePrefix="0" xfId="0">
      <alignment horizontal="center" vertical="center" wrapText="1"/>
    </xf>
    <xf numFmtId="165" fontId="19" fillId="9" borderId="1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3" fontId="21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3" fontId="21" fillId="5" borderId="1" applyAlignment="1" pivotButton="0" quotePrefix="0" xfId="0">
      <alignment horizontal="center" vertical="center" wrapText="1"/>
    </xf>
    <xf numFmtId="3" fontId="22" fillId="3" borderId="1" applyAlignment="1" pivotButton="0" quotePrefix="0" xfId="0">
      <alignment horizontal="center" vertical="center" wrapText="1"/>
    </xf>
    <xf numFmtId="3" fontId="22" fillId="5" borderId="1" applyAlignment="1" pivotButton="0" quotePrefix="0" xfId="0">
      <alignment horizontal="center" vertical="center" wrapText="1"/>
    </xf>
    <xf numFmtId="164" fontId="22" fillId="3" borderId="1" applyAlignment="1" pivotButton="0" quotePrefix="0" xfId="0">
      <alignment horizontal="center" vertical="center" wrapText="1"/>
    </xf>
    <xf numFmtId="164" fontId="22" fillId="5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166" fontId="10" fillId="10" borderId="1" applyAlignment="1" pivotButton="0" quotePrefix="0" xfId="0">
      <alignment horizontal="center" vertical="center" wrapText="1"/>
    </xf>
    <xf numFmtId="167" fontId="22" fillId="5" borderId="1" applyAlignment="1" pivotButton="0" quotePrefix="0" xfId="0">
      <alignment horizontal="center" vertical="center" wrapText="1"/>
    </xf>
    <xf numFmtId="0" fontId="19" fillId="13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165" fontId="20" fillId="3" borderId="1" applyAlignment="1" pivotButton="0" quotePrefix="0" xfId="0">
      <alignment horizontal="center" vertical="center" wrapText="1"/>
    </xf>
    <xf numFmtId="2" fontId="21" fillId="3" borderId="1" applyAlignment="1" pivotButton="0" quotePrefix="0" xfId="0">
      <alignment horizontal="center" vertical="center" wrapText="1"/>
    </xf>
    <xf numFmtId="2" fontId="21" fillId="5" borderId="1" applyAlignment="1" pivotButton="0" quotePrefix="0" xfId="0">
      <alignment horizontal="center" vertical="center" wrapText="1"/>
    </xf>
    <xf numFmtId="164" fontId="20" fillId="3" borderId="1" applyAlignment="1" pivotButton="0" quotePrefix="0" xfId="0">
      <alignment horizontal="center" vertical="center" wrapText="1"/>
    </xf>
    <xf numFmtId="165" fontId="20" fillId="5" borderId="1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164" fontId="20" fillId="5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4" fontId="20" fillId="10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168" fontId="22" fillId="6" borderId="1" applyAlignment="1" pivotButton="0" quotePrefix="0" xfId="0">
      <alignment horizontal="center" vertical="center" wrapText="1"/>
    </xf>
    <xf numFmtId="164" fontId="22" fillId="6" borderId="1" applyAlignment="1" pivotButton="0" quotePrefix="0" xfId="0">
      <alignment horizontal="center" vertical="center" wrapText="1"/>
    </xf>
    <xf numFmtId="166" fontId="22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left" vertical="center" wrapText="1"/>
    </xf>
    <xf numFmtId="168" fontId="22" fillId="7" borderId="1" applyAlignment="1" pivotButton="0" quotePrefix="0" xfId="0">
      <alignment horizontal="center" vertical="center" wrapText="1"/>
    </xf>
    <xf numFmtId="164" fontId="22" fillId="7" borderId="1" applyAlignment="1" pivotButton="0" quotePrefix="0" xfId="0">
      <alignment horizontal="center" vertical="center" wrapText="1"/>
    </xf>
    <xf numFmtId="166" fontId="22" fillId="7" borderId="1" applyAlignment="1" pivotButton="0" quotePrefix="0" xfId="0">
      <alignment horizontal="center" vertical="center" wrapText="1"/>
    </xf>
    <xf numFmtId="0" fontId="24" fillId="7" borderId="1" applyAlignment="1" pivotButton="0" quotePrefix="0" xfId="0">
      <alignment horizontal="left" vertical="center" wrapText="1"/>
    </xf>
    <xf numFmtId="168" fontId="22" fillId="8" borderId="1" applyAlignment="1" pivotButton="0" quotePrefix="0" xfId="0">
      <alignment horizontal="center" vertical="center" wrapText="1"/>
    </xf>
    <xf numFmtId="164" fontId="22" fillId="8" borderId="1" applyAlignment="1" pivotButton="0" quotePrefix="0" xfId="0">
      <alignment horizontal="center" vertical="center" wrapText="1"/>
    </xf>
    <xf numFmtId="166" fontId="22" fillId="8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left" vertical="center" wrapText="1"/>
    </xf>
    <xf numFmtId="168" fontId="22" fillId="3" borderId="1" applyAlignment="1" pivotButton="0" quotePrefix="0" xfId="0">
      <alignment horizontal="center" vertical="center" wrapText="1"/>
    </xf>
    <xf numFmtId="166" fontId="22" fillId="3" borderId="1" applyAlignment="1" pivotButton="0" quotePrefix="0" xfId="0">
      <alignment horizontal="center" vertical="center" wrapText="1"/>
    </xf>
    <xf numFmtId="0" fontId="24" fillId="3" borderId="1" applyAlignment="1" pivotButton="0" quotePrefix="0" xfId="0">
      <alignment horizontal="left" vertical="center" wrapText="1"/>
    </xf>
    <xf numFmtId="0" fontId="17" fillId="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164" fontId="16" fillId="5" borderId="1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left" vertical="center" wrapText="1"/>
    </xf>
    <xf numFmtId="3" fontId="16" fillId="5" borderId="1" applyAlignment="1" pivotButton="0" quotePrefix="0" xfId="0">
      <alignment horizontal="center" vertical="center" wrapText="1"/>
    </xf>
    <xf numFmtId="165" fontId="16" fillId="5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general" vertical="bottom"/>
    </xf>
    <xf numFmtId="0" fontId="17" fillId="3" borderId="0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3" fontId="20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167" fontId="8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3" fontId="20" fillId="7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center" vertical="center" wrapText="1"/>
    </xf>
    <xf numFmtId="167" fontId="8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3" fontId="20" fillId="8" borderId="1" applyAlignment="1" pivotButton="0" quotePrefix="0" xfId="0">
      <alignment horizontal="center" vertical="center" wrapText="1"/>
    </xf>
    <xf numFmtId="3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166" fontId="8" fillId="8" borderId="1" applyAlignment="1" pivotButton="0" quotePrefix="0" xfId="0">
      <alignment horizontal="center" vertical="center" wrapText="1"/>
    </xf>
    <xf numFmtId="167" fontId="8" fillId="8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3" fontId="20" fillId="3" borderId="1" applyAlignment="1" pivotButton="0" quotePrefix="0" xfId="0">
      <alignment horizontal="center" vertical="center" wrapText="1"/>
    </xf>
    <xf numFmtId="3" fontId="8" fillId="3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8" fillId="3" borderId="1" applyAlignment="1" pivotButton="0" quotePrefix="0" xfId="0">
      <alignment horizontal="center" vertical="center" wrapText="1"/>
    </xf>
    <xf numFmtId="167" fontId="8" fillId="3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3" fontId="19" fillId="9" borderId="1" applyAlignment="1" pivotButton="0" quotePrefix="0" xfId="0">
      <alignment horizontal="center" vertical="center" wrapText="1"/>
    </xf>
    <xf numFmtId="164" fontId="19" fillId="9" borderId="1" applyAlignment="1" pivotButton="0" quotePrefix="0" xfId="0">
      <alignment horizontal="center" vertical="center" wrapText="1"/>
    </xf>
    <xf numFmtId="166" fontId="19" fillId="9" borderId="1" applyAlignment="1" pivotButton="0" quotePrefix="0" xfId="0">
      <alignment horizontal="center" vertical="center" wrapText="1"/>
    </xf>
    <xf numFmtId="165" fontId="19" fillId="9" borderId="1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3" fontId="21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3" fontId="21" fillId="5" borderId="1" applyAlignment="1" pivotButton="0" quotePrefix="0" xfId="0">
      <alignment horizontal="center" vertical="center" wrapText="1"/>
    </xf>
    <xf numFmtId="3" fontId="22" fillId="3" borderId="1" applyAlignment="1" pivotButton="0" quotePrefix="0" xfId="0">
      <alignment horizontal="center" vertical="center" wrapText="1"/>
    </xf>
    <xf numFmtId="3" fontId="22" fillId="5" borderId="1" applyAlignment="1" pivotButton="0" quotePrefix="0" xfId="0">
      <alignment horizontal="center" vertical="center" wrapText="1"/>
    </xf>
    <xf numFmtId="164" fontId="22" fillId="3" borderId="1" applyAlignment="1" pivotButton="0" quotePrefix="0" xfId="0">
      <alignment horizontal="center" vertical="center" wrapText="1"/>
    </xf>
    <xf numFmtId="164" fontId="22" fillId="5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166" fontId="10" fillId="10" borderId="1" applyAlignment="1" pivotButton="0" quotePrefix="0" xfId="0">
      <alignment horizontal="center" vertical="center" wrapText="1"/>
    </xf>
    <xf numFmtId="167" fontId="22" fillId="5" borderId="1" applyAlignment="1" pivotButton="0" quotePrefix="0" xfId="0">
      <alignment horizontal="center" vertical="center" wrapText="1"/>
    </xf>
    <xf numFmtId="0" fontId="19" fillId="13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165" fontId="20" fillId="3" borderId="1" applyAlignment="1" pivotButton="0" quotePrefix="0" xfId="0">
      <alignment horizontal="center" vertical="center" wrapText="1"/>
    </xf>
    <xf numFmtId="2" fontId="21" fillId="3" borderId="1" applyAlignment="1" pivotButton="0" quotePrefix="0" xfId="0">
      <alignment horizontal="center" vertical="center" wrapText="1"/>
    </xf>
    <xf numFmtId="2" fontId="21" fillId="5" borderId="1" applyAlignment="1" pivotButton="0" quotePrefix="0" xfId="0">
      <alignment horizontal="center" vertical="center" wrapText="1"/>
    </xf>
    <xf numFmtId="164" fontId="20" fillId="3" borderId="1" applyAlignment="1" pivotButton="0" quotePrefix="0" xfId="0">
      <alignment horizontal="center" vertical="center" wrapText="1"/>
    </xf>
    <xf numFmtId="165" fontId="20" fillId="5" borderId="1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164" fontId="20" fillId="5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4" fontId="20" fillId="10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168" fontId="22" fillId="6" borderId="1" applyAlignment="1" pivotButton="0" quotePrefix="0" xfId="0">
      <alignment horizontal="center" vertical="center" wrapText="1"/>
    </xf>
    <xf numFmtId="164" fontId="22" fillId="6" borderId="1" applyAlignment="1" pivotButton="0" quotePrefix="0" xfId="0">
      <alignment horizontal="center" vertical="center" wrapText="1"/>
    </xf>
    <xf numFmtId="166" fontId="22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left" vertical="center" wrapText="1"/>
    </xf>
    <xf numFmtId="168" fontId="22" fillId="7" borderId="1" applyAlignment="1" pivotButton="0" quotePrefix="0" xfId="0">
      <alignment horizontal="center" vertical="center" wrapText="1"/>
    </xf>
    <xf numFmtId="164" fontId="22" fillId="7" borderId="1" applyAlignment="1" pivotButton="0" quotePrefix="0" xfId="0">
      <alignment horizontal="center" vertical="center" wrapText="1"/>
    </xf>
    <xf numFmtId="166" fontId="22" fillId="7" borderId="1" applyAlignment="1" pivotButton="0" quotePrefix="0" xfId="0">
      <alignment horizontal="center" vertical="center" wrapText="1"/>
    </xf>
    <xf numFmtId="0" fontId="24" fillId="7" borderId="1" applyAlignment="1" pivotButton="0" quotePrefix="0" xfId="0">
      <alignment horizontal="left" vertical="center" wrapText="1"/>
    </xf>
    <xf numFmtId="168" fontId="22" fillId="8" borderId="1" applyAlignment="1" pivotButton="0" quotePrefix="0" xfId="0">
      <alignment horizontal="center" vertical="center" wrapText="1"/>
    </xf>
    <xf numFmtId="164" fontId="22" fillId="8" borderId="1" applyAlignment="1" pivotButton="0" quotePrefix="0" xfId="0">
      <alignment horizontal="center" vertical="center" wrapText="1"/>
    </xf>
    <xf numFmtId="166" fontId="22" fillId="8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left" vertical="center" wrapText="1"/>
    </xf>
    <xf numFmtId="168" fontId="22" fillId="3" borderId="1" applyAlignment="1" pivotButton="0" quotePrefix="0" xfId="0">
      <alignment horizontal="center" vertical="center" wrapText="1"/>
    </xf>
    <xf numFmtId="166" fontId="22" fillId="3" borderId="1" applyAlignment="1" pivotButton="0" quotePrefix="0" xfId="0">
      <alignment horizontal="center" vertical="center" wrapText="1"/>
    </xf>
    <xf numFmtId="0" fontId="24" fillId="3" borderId="1" applyAlignment="1" pivotButton="0" quotePrefix="0" xfId="0">
      <alignment horizontal="left" vertical="center" wrapText="1"/>
    </xf>
    <xf numFmtId="0" fontId="17" fillId="3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EC2"/>
      <rgbColor rgb="FFCCCCCC"/>
      <rgbColor rgb="FF888888"/>
      <rgbColor rgb="FF9999FF"/>
      <rgbColor rgb="FF993366"/>
      <rgbColor rgb="FFFFF8ED"/>
      <rgbColor rgb="FFE3EEFB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1A7F38"/>
      <rgbColor rgb="FF0000FF"/>
      <rgbColor rgb="FF00CCFF"/>
      <rgbColor rgb="FFEDFBF1"/>
      <rgbColor rgb="FFF5F5F7"/>
      <rgbColor rgb="FFFFF0EF"/>
      <rgbColor rgb="FF99CCFF"/>
      <rgbColor rgb="FFFF99CC"/>
      <rgbColor rgb="FFCC99FF"/>
      <rgbColor rgb="FFFFCC99"/>
      <rgbColor rgb="FF005BAA"/>
      <rgbColor rgb="FF33CCCC"/>
      <rgbColor rgb="FF99CC00"/>
      <rgbColor rgb="FFFFCC00"/>
      <rgbColor rgb="FFFF9900"/>
      <rgbColor rgb="FFFF6600"/>
      <rgbColor rgb="FF666699"/>
      <rgbColor rgb="FF969696"/>
      <rgbColor rgb="FF003DA5"/>
      <rgbColor rgb="FF339966"/>
      <rgbColor rgb="FF003300"/>
      <rgbColor rgb="FF333300"/>
      <rgbColor rgb="FFC62828"/>
      <rgbColor rgb="FF993366"/>
      <rgbColor rgb="FF333399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96" min="1" max="1"/>
    <col width="40" customWidth="1" style="96" min="2" max="2"/>
    <col width="30" customWidth="1" style="96" min="3" max="3"/>
  </cols>
  <sheetData>
    <row r="1" ht="18" customHeight="1" s="97"/>
    <row r="2" ht="48" customHeight="1" s="97">
      <c r="B2" s="98" t="inlineStr">
        <is>
          <t>HCP TERRITORY ROI CALCULATOR</t>
        </is>
      </c>
    </row>
    <row r="3" ht="27.75" customHeight="1" s="97">
      <c r="B3" s="99" t="inlineStr">
        <is>
          <t>Pharma Commercial Analytics — Diabetes Portfolio</t>
        </is>
      </c>
    </row>
    <row r="4" ht="21.75" customHeight="1" s="97">
      <c r="B4" s="100" t="inlineStr">
        <is>
          <t>HCP Targeting &amp; Brand Performance Analytics Project</t>
        </is>
      </c>
    </row>
    <row r="5" ht="18" customHeight="1" s="97"/>
    <row r="6" ht="18" customHeight="1" s="97">
      <c r="B6" s="101" t="inlineStr">
        <is>
          <t>PURPOSE</t>
        </is>
      </c>
      <c r="C6" s="102" t="inlineStr">
        <is>
          <t>Model the commercial impact of HCP targeting decisions</t>
        </is>
      </c>
    </row>
    <row r="7" ht="18" customHeight="1" s="97">
      <c r="B7" s="101" t="inlineStr">
        <is>
          <t>SCOPE</t>
        </is>
      </c>
      <c r="C7" s="102" t="inlineStr">
        <is>
          <t>4 HCP segments · 4 territories · 3 scenarios</t>
        </is>
      </c>
    </row>
    <row r="8" ht="18" customHeight="1" s="97">
      <c r="B8" s="101" t="inlineStr">
        <is>
          <t>DATA SOURCE</t>
        </is>
      </c>
      <c r="C8" s="102" t="inlineStr">
        <is>
          <t>CMS Medicare Part D 2022; CMS Open Payments 2022</t>
        </is>
      </c>
    </row>
    <row r="9" ht="18" customHeight="1" s="97"/>
    <row r="10" ht="18" customHeight="1" s="97">
      <c r="B10" s="103" t="inlineStr">
        <is>
          <t>WORKSHEET GUIDE</t>
        </is>
      </c>
    </row>
    <row r="11" ht="18" customHeight="1" s="97">
      <c r="B11" s="104" t="inlineStr">
        <is>
          <t>1. Inputs</t>
        </is>
      </c>
      <c r="C11" s="102" t="inlineStr">
        <is>
          <t>All configurable assumptions — change these to model scenarios</t>
        </is>
      </c>
    </row>
    <row r="12" ht="18" customHeight="1" s="97">
      <c r="B12" s="104" t="inlineStr">
        <is>
          <t>2. Segment ROI</t>
        </is>
      </c>
      <c r="C12" s="102" t="inlineStr">
        <is>
          <t>Per-segment call cost, Rx lift and ROI calculation</t>
        </is>
      </c>
    </row>
    <row r="13" ht="18" customHeight="1" s="97">
      <c r="B13" s="104" t="inlineStr">
        <is>
          <t>3. Territory Compare</t>
        </is>
      </c>
      <c r="C13" s="102" t="inlineStr">
        <is>
          <t>Side-by-side ROI across 4 territory compositions</t>
        </is>
      </c>
    </row>
    <row r="14" ht="18" customHeight="1" s="97">
      <c r="B14" s="104" t="inlineStr">
        <is>
          <t>4. Scenario Analysis</t>
        </is>
      </c>
      <c r="C14" s="102" t="inlineStr">
        <is>
          <t>Base / Optimistic / Pessimistic sensitivities</t>
        </is>
      </c>
    </row>
    <row r="15" ht="18" customHeight="1" s="97">
      <c r="B15" s="104" t="inlineStr">
        <is>
          <t>5. Priority Matrix</t>
        </is>
      </c>
      <c r="C15" s="102" t="inlineStr">
        <is>
          <t>Which HCPs to target first — value vs effort quadrant</t>
        </is>
      </c>
    </row>
    <row r="16" ht="18" customHeight="1" s="97"/>
    <row r="17" ht="18" customHeight="1" s="97">
      <c r="B17" s="103" t="inlineStr">
        <is>
          <t>COLOUR KEY</t>
        </is>
      </c>
    </row>
    <row r="18" ht="18" customHeight="1" s="97">
      <c r="B18" s="105" t="inlineStr">
        <is>
          <t>■</t>
        </is>
      </c>
      <c r="C18" s="102" t="inlineStr">
        <is>
          <t>Blue text — user input (change these)</t>
        </is>
      </c>
    </row>
    <row r="19" ht="18" customHeight="1" s="97">
      <c r="B19" s="106" t="inlineStr">
        <is>
          <t>■</t>
        </is>
      </c>
      <c r="C19" s="102" t="inlineStr">
        <is>
          <t>Black text — calculated formula (do not edit)</t>
        </is>
      </c>
    </row>
    <row r="20" ht="18" customHeight="1" s="97">
      <c r="B20" s="107" t="inlineStr">
        <is>
          <t>■</t>
        </is>
      </c>
      <c r="C20" s="102" t="inlineStr">
        <is>
          <t>Green text — cross-sheet link</t>
        </is>
      </c>
    </row>
  </sheetData>
  <mergeCells count="3">
    <mergeCell ref="B3:C3"/>
    <mergeCell ref="B4:C4"/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96" min="1" max="1"/>
    <col width="38" customWidth="1" style="96" min="2" max="2"/>
    <col width="18" customWidth="1" style="96" min="3" max="3"/>
    <col width="22" customWidth="1" style="96" min="4" max="4"/>
    <col width="4" customWidth="1" style="96" min="5" max="5"/>
  </cols>
  <sheetData>
    <row r="2" ht="31.5" customHeight="1" s="97">
      <c r="B2" s="108" t="inlineStr">
        <is>
          <t>MODEL INPUTS — CHANGE THESE TO RUN SCENARIOS</t>
        </is>
      </c>
    </row>
    <row r="4" ht="24" customHeight="1" s="97">
      <c r="B4" s="109" t="inlineStr">
        <is>
          <t>A. COST &amp; REVENUE ASSUMPTIONS</t>
        </is>
      </c>
    </row>
    <row r="5" ht="35.05" customHeight="1" s="97">
      <c r="B5" s="110" t="inlineStr">
        <is>
          <t>Cost per field sales call ($)</t>
        </is>
      </c>
      <c r="C5" s="111" t="n">
        <v>180</v>
      </c>
      <c r="D5" s="112" t="inlineStr">
        <is>
          <t>Source: Industry benchmark; Bain &amp; Company 2023</t>
        </is>
      </c>
    </row>
    <row r="6" ht="35.05" customHeight="1" s="97">
      <c r="B6" s="110" t="inlineStr">
        <is>
          <t>Net revenue per branded Rx fill ($)</t>
        </is>
      </c>
      <c r="C6" s="111" t="n">
        <v>45</v>
      </c>
      <c r="D6" s="112" t="inlineStr">
        <is>
          <t>Source: Avg branded diabetes Rx margin estimate</t>
        </is>
      </c>
    </row>
    <row r="7" ht="23.85" customHeight="1" s="97">
      <c r="B7" s="110" t="inlineStr">
        <is>
          <t>Average fills per HCP per year (base)</t>
        </is>
      </c>
      <c r="C7" s="113" t="n">
        <v>120</v>
      </c>
      <c r="D7" s="112" t="inlineStr">
        <is>
          <t>Baseline annual fills before intervention</t>
        </is>
      </c>
    </row>
    <row r="8" ht="23.85" customHeight="1" s="97">
      <c r="B8" s="110" t="inlineStr">
        <is>
          <t>Rep territory size (HCPs)</t>
        </is>
      </c>
      <c r="C8" s="113" t="n">
        <v>250</v>
      </c>
      <c r="D8" s="112" t="inlineStr">
        <is>
          <t>Total HCPs in a standard rep territory</t>
        </is>
      </c>
    </row>
    <row r="9" ht="23.85" customHeight="1" s="97">
      <c r="B9" s="110" t="inlineStr">
        <is>
          <t>Working weeks per year</t>
        </is>
      </c>
      <c r="C9" s="113" t="n">
        <v>48</v>
      </c>
      <c r="D9" s="112" t="inlineStr">
        <is>
          <t>Excludes 4 weeks PTO/training</t>
        </is>
      </c>
    </row>
    <row r="10" ht="23.85" customHeight="1" s="97">
      <c r="B10" s="110" t="inlineStr">
        <is>
          <t>Calls per rep per day</t>
        </is>
      </c>
      <c r="C10" s="113" t="n">
        <v>6</v>
      </c>
      <c r="D10" s="112" t="inlineStr">
        <is>
          <t>Average field calls per rep per day</t>
        </is>
      </c>
    </row>
    <row r="12" ht="24" customHeight="1" s="97">
      <c r="B12" s="109" t="inlineStr">
        <is>
          <t>B. CALL CADENCE (days between visits)</t>
        </is>
      </c>
    </row>
    <row r="13" ht="23.85" customHeight="1" s="97">
      <c r="B13" s="110" t="inlineStr">
        <is>
          <t>High Value — cadence (days)</t>
        </is>
      </c>
      <c r="C13" s="113" t="n">
        <v>28</v>
      </c>
      <c r="D13" s="112" t="inlineStr">
        <is>
          <t>Every 4 weeks — defend Rx share</t>
        </is>
      </c>
    </row>
    <row r="14" ht="23.85" customHeight="1" s="97">
      <c r="B14" s="110" t="inlineStr">
        <is>
          <t>Growth — cadence (days)</t>
        </is>
      </c>
      <c r="C14" s="113" t="n">
        <v>42</v>
      </c>
      <c r="D14" s="112" t="inlineStr">
        <is>
          <t>Every 6 weeks — convert &amp; grow</t>
        </is>
      </c>
    </row>
    <row r="15" ht="23.85" customHeight="1" s="97">
      <c r="B15" s="110" t="inlineStr">
        <is>
          <t>Maintenance — cadence (days)</t>
        </is>
      </c>
      <c r="C15" s="113" t="n">
        <v>84</v>
      </c>
      <c r="D15" s="112" t="inlineStr">
        <is>
          <t>Every 12 weeks — keep warm</t>
        </is>
      </c>
    </row>
    <row r="16" ht="23.85" customHeight="1" s="97">
      <c r="B16" s="110" t="inlineStr">
        <is>
          <t>Deprioritise — cadence (days)</t>
        </is>
      </c>
      <c r="C16" s="113" t="n">
        <v>180</v>
      </c>
      <c r="D16" s="112" t="inlineStr">
        <is>
          <t>Every 6 months — minimal touch</t>
        </is>
      </c>
    </row>
    <row r="18" ht="24" customHeight="1" s="97">
      <c r="B18" s="109" t="inlineStr">
        <is>
          <t>C. EXPECTED Rx LIFT PER CALL (% incremental fills)</t>
        </is>
      </c>
    </row>
    <row r="19" ht="23.85" customHeight="1" s="97">
      <c r="B19" s="110" t="inlineStr">
        <is>
          <t>High Value — Rx lift per call (%)</t>
        </is>
      </c>
      <c r="C19" s="114" t="n">
        <v>0.08</v>
      </c>
      <c r="D19" s="112" t="inlineStr">
        <is>
          <t>Defending existing high-volume prescribers</t>
        </is>
      </c>
    </row>
    <row r="20" ht="35.05" customHeight="1" s="97">
      <c r="B20" s="110" t="inlineStr">
        <is>
          <t>Growth — Rx lift per call (%)</t>
        </is>
      </c>
      <c r="C20" s="114" t="n">
        <v>0.12</v>
      </c>
      <c r="D20" s="112" t="inlineStr">
        <is>
          <t>Converting rising prescribers (highest marginal gain)</t>
        </is>
      </c>
    </row>
    <row r="21" ht="23.85" customHeight="1" s="97">
      <c r="B21" s="110" t="inlineStr">
        <is>
          <t>Maintenance — Rx lift per call (%)</t>
        </is>
      </c>
      <c r="C21" s="114" t="n">
        <v>0.04</v>
      </c>
      <c r="D21" s="112" t="inlineStr">
        <is>
          <t>Low marginal gain; calls preserve not grow</t>
        </is>
      </c>
    </row>
    <row r="22" ht="23.85" customHeight="1" s="97">
      <c r="B22" s="110" t="inlineStr">
        <is>
          <t>Deprioritise — Rx lift per call (%)</t>
        </is>
      </c>
      <c r="C22" s="114" t="n">
        <v>0.02</v>
      </c>
      <c r="D22" s="112" t="inlineStr">
        <is>
          <t>Minimal engagement value</t>
        </is>
      </c>
    </row>
    <row r="24" ht="24" customHeight="1" s="97">
      <c r="B24" s="109" t="inlineStr">
        <is>
          <t>D. TERRITORY HCP MIX (number of HCPs per segment)</t>
        </is>
      </c>
    </row>
    <row r="25" ht="23.85" customHeight="1" s="97">
      <c r="B25" s="110" t="inlineStr">
        <is>
          <t>High Value HCPs</t>
        </is>
      </c>
      <c r="C25" s="113" t="n">
        <v>30</v>
      </c>
      <c r="D25" s="112" t="inlineStr">
        <is>
          <t>Approx 12% of territory — highest-priority accounts</t>
        </is>
      </c>
    </row>
    <row r="26" ht="23.85" customHeight="1" s="97">
      <c r="B26" s="110" t="inlineStr">
        <is>
          <t>Growth HCPs</t>
        </is>
      </c>
      <c r="C26" s="113" t="n">
        <v>45</v>
      </c>
      <c r="D26" s="112" t="inlineStr">
        <is>
          <t>Approx 18% — converting prescribers</t>
        </is>
      </c>
    </row>
    <row r="27" ht="35.05" customHeight="1" s="97">
      <c r="B27" s="110" t="inlineStr">
        <is>
          <t>Maintenance HCPs</t>
        </is>
      </c>
      <c r="C27" s="113" t="n">
        <v>90</v>
      </c>
      <c r="D27" s="112" t="inlineStr">
        <is>
          <t>Approx 36% — established, defending share</t>
        </is>
      </c>
    </row>
    <row r="28" ht="23.85" customHeight="1" s="97">
      <c r="B28" s="110" t="inlineStr">
        <is>
          <t>Deprioritise HCPs</t>
        </is>
      </c>
      <c r="C28" s="113" t="n">
        <v>85</v>
      </c>
      <c r="D28" s="112" t="inlineStr">
        <is>
          <t>Approx 34% — minimal commercial value</t>
        </is>
      </c>
    </row>
    <row r="30" ht="15" customHeight="1" s="97">
      <c r="B30" s="102" t="inlineStr">
        <is>
          <t>Total HCPs (check)</t>
        </is>
      </c>
      <c r="C30" s="115">
        <f>C25+C26+C27+C28</f>
        <v/>
      </c>
      <c r="D30" s="116" t="inlineStr">
        <is>
          <t>Should equal territory size input (C8)</t>
        </is>
      </c>
    </row>
  </sheetData>
  <mergeCells count="5">
    <mergeCell ref="B4:D4"/>
    <mergeCell ref="B18:D18"/>
    <mergeCell ref="B12:D12"/>
    <mergeCell ref="B24:D24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96" min="1" max="1"/>
    <col width="22" customWidth="1" style="96" min="2" max="2"/>
    <col width="16" customWidth="1" style="96" min="3" max="8"/>
    <col width="13" customWidth="1" style="97" min="6" max="6"/>
    <col width="13" customWidth="1" style="97" min="7" max="7"/>
    <col width="13" customWidth="1" style="97" min="8" max="8"/>
    <col width="12" customWidth="1" style="96" min="9" max="9"/>
  </cols>
  <sheetData>
    <row r="2" ht="31.5" customHeight="1" s="97">
      <c r="B2" s="108" t="inlineStr">
        <is>
          <t>SEGMENT-LEVEL ROI ANALYSIS — ANNUAL TERRITORY VIEW</t>
        </is>
      </c>
    </row>
    <row r="3" ht="15" customHeight="1" s="97">
      <c r="B3" s="117" t="inlineStr">
        <is>
          <t>All inputs pulled from Inputs sheet. Change assumptions there to update this model.</t>
        </is>
      </c>
    </row>
    <row r="5" ht="27.75" customHeight="1" s="97">
      <c r="B5" s="118" t="inlineStr">
        <is>
          <t>Segment</t>
        </is>
      </c>
      <c r="C5" s="118" t="inlineStr">
        <is>
          <t>HCPs</t>
        </is>
      </c>
      <c r="D5" s="118" t="inlineStr">
        <is>
          <t>Calls/Year</t>
        </is>
      </c>
      <c r="E5" s="118" t="inlineStr">
        <is>
          <t>Call Cost ($)</t>
        </is>
      </c>
      <c r="F5" s="118" t="inlineStr">
        <is>
          <t>Rx Lift (fills)</t>
        </is>
      </c>
      <c r="G5" s="118" t="inlineStr">
        <is>
          <t>Revenue Lift ($)</t>
        </is>
      </c>
      <c r="H5" s="118" t="inlineStr">
        <is>
          <t>Net ROI ($)</t>
        </is>
      </c>
      <c r="I5" s="118" t="inlineStr">
        <is>
          <t>ROI %</t>
        </is>
      </c>
    </row>
    <row r="6" ht="39.55" customHeight="1" s="97">
      <c r="B6" s="119" t="inlineStr">
        <is>
          <t>High Value</t>
        </is>
      </c>
      <c r="C6" s="120">
        <f>Inputs!C25</f>
        <v/>
      </c>
      <c r="D6" s="121">
        <f>ROUND(Inputs!C25*(365/Inputs!C13),0)</f>
        <v/>
      </c>
      <c r="E6" s="122">
        <f>D6*Inputs!$C$5</f>
        <v/>
      </c>
      <c r="F6" s="121">
        <f>ROUND(Inputs!C25*Inputs!$C$7*Inputs!C19*(365/Inputs!C13),0)</f>
        <v/>
      </c>
      <c r="G6" s="122">
        <f>F6*Inputs!$C$6</f>
        <v/>
      </c>
      <c r="H6" s="123">
        <f>G6-E6</f>
        <v/>
      </c>
      <c r="I6" s="124">
        <f>IFERROR((G6-E6)/E6,0)</f>
        <v/>
      </c>
    </row>
    <row r="7" ht="39.55" customHeight="1" s="97">
      <c r="B7" s="125" t="inlineStr">
        <is>
          <t>Growth</t>
        </is>
      </c>
      <c r="C7" s="126">
        <f>Inputs!C26</f>
        <v/>
      </c>
      <c r="D7" s="127">
        <f>ROUND(Inputs!C26*(365/Inputs!C14),0)</f>
        <v/>
      </c>
      <c r="E7" s="128">
        <f>D7*Inputs!$C$5</f>
        <v/>
      </c>
      <c r="F7" s="127">
        <f>ROUND(Inputs!C26*Inputs!$C$7*Inputs!C20*(365/Inputs!C14),0)</f>
        <v/>
      </c>
      <c r="G7" s="128">
        <f>F7*Inputs!$C$6</f>
        <v/>
      </c>
      <c r="H7" s="129">
        <f>G7-E7</f>
        <v/>
      </c>
      <c r="I7" s="130">
        <f>IFERROR((G7-E7)/E7,0)</f>
        <v/>
      </c>
    </row>
    <row r="8" ht="26.85" customHeight="1" s="97">
      <c r="B8" s="131" t="inlineStr">
        <is>
          <t>Maintenance</t>
        </is>
      </c>
      <c r="C8" s="132">
        <f>Inputs!C27</f>
        <v/>
      </c>
      <c r="D8" s="133">
        <f>ROUND(Inputs!C27*(365/Inputs!C15),0)</f>
        <v/>
      </c>
      <c r="E8" s="134">
        <f>D8*Inputs!$C$5</f>
        <v/>
      </c>
      <c r="F8" s="133">
        <f>ROUND(Inputs!C27*Inputs!$C$7*Inputs!C21*(365/Inputs!C15),0)</f>
        <v/>
      </c>
      <c r="G8" s="134">
        <f>F8*Inputs!$C$6</f>
        <v/>
      </c>
      <c r="H8" s="135">
        <f>G8-E8</f>
        <v/>
      </c>
      <c r="I8" s="136">
        <f>IFERROR((G8-E8)/E8,0)</f>
        <v/>
      </c>
    </row>
    <row r="9" ht="39.55" customHeight="1" s="97">
      <c r="B9" s="137" t="inlineStr">
        <is>
          <t>Deprioritise</t>
        </is>
      </c>
      <c r="C9" s="138">
        <f>Inputs!C28</f>
        <v/>
      </c>
      <c r="D9" s="139">
        <f>ROUND(Inputs!C28*(365/Inputs!C16),0)</f>
        <v/>
      </c>
      <c r="E9" s="140">
        <f>D9*Inputs!$C$5</f>
        <v/>
      </c>
      <c r="F9" s="139">
        <f>ROUND(Inputs!C28*Inputs!$C$7*Inputs!C22*(365/Inputs!C16),0)</f>
        <v/>
      </c>
      <c r="G9" s="140">
        <f>F9*Inputs!$C$6</f>
        <v/>
      </c>
      <c r="H9" s="141">
        <f>G9-E9</f>
        <v/>
      </c>
      <c r="I9" s="142">
        <f>IFERROR((G9-E9)/E9,0)</f>
        <v/>
      </c>
    </row>
    <row r="10" ht="25.5" customHeight="1" s="97">
      <c r="B10" s="143" t="inlineStr">
        <is>
          <t>TOTAL TERRITORY</t>
        </is>
      </c>
      <c r="C10" s="144">
        <f>SUM(C6:C9)</f>
        <v/>
      </c>
      <c r="D10" s="144">
        <f>SUM(D6:D9)</f>
        <v/>
      </c>
      <c r="E10" s="145">
        <f>SUM(E6:E9)</f>
        <v/>
      </c>
      <c r="F10" s="144">
        <f>SUM(F6:F9)</f>
        <v/>
      </c>
      <c r="G10" s="145">
        <f>SUM(G6:G9)</f>
        <v/>
      </c>
      <c r="H10" s="146">
        <f>SUM(H6:H9)</f>
        <v/>
      </c>
      <c r="I10" s="147">
        <f>IFERROR(SUM(G6:G9)/SUM(E6:E9)-1,0)</f>
        <v/>
      </c>
    </row>
    <row r="12" ht="36" customHeight="1" s="97">
      <c r="B12" s="148" t="inlineStr">
        <is>
          <t>KEY INSIGHT: Growth segment typically delivers highest ROI per call — rising prescribers have highest marginal Rx lift from each visit.</t>
        </is>
      </c>
    </row>
  </sheetData>
  <mergeCells count="3">
    <mergeCell ref="B3:H3"/>
    <mergeCell ref="B2:H2"/>
    <mergeCell ref="B12:H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96" min="1" max="1"/>
    <col width="24" customWidth="1" style="96" min="2" max="2"/>
    <col width="16" customWidth="1" style="96" min="3" max="6"/>
    <col width="16" customWidth="1" style="97" min="4" max="4"/>
    <col width="16" customWidth="1" style="97" min="5" max="5"/>
    <col width="16" customWidth="1" style="97" min="6" max="6"/>
    <col width="4" customWidth="1" style="96" min="7" max="7"/>
  </cols>
  <sheetData>
    <row r="2" ht="31.5" customHeight="1" s="97">
      <c r="B2" s="108" t="inlineStr">
        <is>
          <t>TERRITORY COMPOSITION COMPARISON — 4 TERRITORY TYPES</t>
        </is>
      </c>
    </row>
    <row r="5" ht="36" customHeight="1" s="97">
      <c r="B5" s="118" t="inlineStr">
        <is>
          <t>Metric</t>
        </is>
      </c>
      <c r="C5" s="118" t="inlineStr">
        <is>
          <t>Balanced
(Base Case)</t>
        </is>
      </c>
      <c r="D5" s="149" t="inlineStr">
        <is>
          <t>High Value
Heavy</t>
        </is>
      </c>
      <c r="E5" s="150" t="inlineStr">
        <is>
          <t>Growth
Focused</t>
        </is>
      </c>
      <c r="F5" s="151" t="inlineStr">
        <is>
          <t>Maintenance
Mode</t>
        </is>
      </c>
    </row>
    <row r="6" ht="15" customHeight="1" s="97">
      <c r="B6" s="152" t="inlineStr">
        <is>
          <t>High Value HCPs</t>
        </is>
      </c>
      <c r="C6" s="153" t="n">
        <v>30</v>
      </c>
      <c r="D6" s="153" t="n">
        <v>70</v>
      </c>
      <c r="E6" s="153" t="n">
        <v>10</v>
      </c>
      <c r="F6" s="153" t="n">
        <v>10</v>
      </c>
    </row>
    <row r="7" ht="15" customHeight="1" s="97">
      <c r="B7" s="154" t="inlineStr">
        <is>
          <t>Growth HCPs</t>
        </is>
      </c>
      <c r="C7" s="155" t="n">
        <v>45</v>
      </c>
      <c r="D7" s="155" t="n">
        <v>20</v>
      </c>
      <c r="E7" s="155" t="n">
        <v>90</v>
      </c>
      <c r="F7" s="155" t="n">
        <v>20</v>
      </c>
    </row>
    <row r="8" ht="15" customHeight="1" s="97">
      <c r="B8" s="152" t="inlineStr">
        <is>
          <t>Maintenance HCPs</t>
        </is>
      </c>
      <c r="C8" s="153" t="n">
        <v>90</v>
      </c>
      <c r="D8" s="153" t="n">
        <v>60</v>
      </c>
      <c r="E8" s="153" t="n">
        <v>60</v>
      </c>
      <c r="F8" s="153" t="n">
        <v>160</v>
      </c>
    </row>
    <row r="9" ht="15" customHeight="1" s="97">
      <c r="B9" s="154" t="inlineStr">
        <is>
          <t>Deprioritise HCPs</t>
        </is>
      </c>
      <c r="C9" s="155" t="n">
        <v>85</v>
      </c>
      <c r="D9" s="155" t="n">
        <v>100</v>
      </c>
      <c r="E9" s="155" t="n">
        <v>90</v>
      </c>
      <c r="F9" s="155" t="n">
        <v>60</v>
      </c>
    </row>
    <row r="10" ht="15" customHeight="1" s="97">
      <c r="B10" s="152" t="inlineStr">
        <is>
          <t>Total HCPs</t>
        </is>
      </c>
      <c r="C10" s="156">
        <f>SUM(C6:C9)</f>
        <v/>
      </c>
      <c r="D10" s="156">
        <f>SUM(D6:D9)</f>
        <v/>
      </c>
      <c r="E10" s="156">
        <f>SUM(E6:E9)</f>
        <v/>
      </c>
      <c r="F10" s="156">
        <f>SUM(F6:F9)</f>
        <v/>
      </c>
    </row>
    <row r="11" ht="15" customHeight="1" s="97">
      <c r="B11" s="154" t="inlineStr">
        <is>
          <t>Total Calls/Year</t>
        </is>
      </c>
      <c r="C11" s="157">
        <f>ROUND(C6*(365/Inputs!$C$13)+C7*(365/Inputs!$C$14)+C8*(365/Inputs!$C$15)+C9*(365/Inputs!$C$16),0)</f>
        <v/>
      </c>
      <c r="D11" s="157">
        <f>ROUND(D6*(365/Inputs!$C$13)+D7*(365/Inputs!$C$14)+D8*(365/Inputs!$C$15)+D9*(365/Inputs!$C$16),0)</f>
        <v/>
      </c>
      <c r="E11" s="157">
        <f>ROUND(E6*(365/Inputs!$C$13)+E7*(365/Inputs!$C$14)+E8*(365/Inputs!$C$15)+E9*(365/Inputs!$C$16),0)</f>
        <v/>
      </c>
      <c r="F11" s="157">
        <f>ROUND(F6*(365/Inputs!$C$13)+F7*(365/Inputs!$C$14)+F8*(365/Inputs!$C$15)+F9*(365/Inputs!$C$16),0)</f>
        <v/>
      </c>
    </row>
    <row r="12" ht="15" customHeight="1" s="97">
      <c r="B12" s="152" t="inlineStr">
        <is>
          <t>Total Call Cost ($)</t>
        </is>
      </c>
      <c r="C12" s="158">
        <f>C11*Inputs!$C$5</f>
        <v/>
      </c>
      <c r="D12" s="158">
        <f>D11*Inputs!$C$5</f>
        <v/>
      </c>
      <c r="E12" s="158">
        <f>E11*Inputs!$C$5</f>
        <v/>
      </c>
      <c r="F12" s="158">
        <f>F11*Inputs!$C$5</f>
        <v/>
      </c>
    </row>
    <row r="13" ht="15" customHeight="1" s="97">
      <c r="B13" s="154" t="inlineStr">
        <is>
          <t>Revenue Lift ($)</t>
        </is>
      </c>
      <c r="C13" s="159">
        <f>ROUND((C6*Inputs!$C$7*Inputs!$C$19*(365/Inputs!$C$13)+C7*Inputs!$C$7*Inputs!$C$20*(365/Inputs!$C$14)+C8*Inputs!$C$7*Inputs!$C$21*(365/Inputs!$C$15)+C9*Inputs!$C$7*Inputs!$C$22*(365/Inputs!$C$16))*Inputs!$C$6,0)</f>
        <v/>
      </c>
      <c r="D13" s="159">
        <f>ROUND((D6*Inputs!$C$7*Inputs!$C$19*(365/Inputs!$C$13)+D7*Inputs!$C$7*Inputs!$C$20*(365/Inputs!$C$14)+D8*Inputs!$C$7*Inputs!$C$21*(365/Inputs!$C$15)+D9*Inputs!$C$7*Inputs!$C$22*(365/Inputs!$C$16))*Inputs!$C$6,0)</f>
        <v/>
      </c>
      <c r="E13" s="159">
        <f>ROUND((E6*Inputs!$C$7*Inputs!$C$19*(365/Inputs!$C$13)+E7*Inputs!$C$7*Inputs!$C$20*(365/Inputs!$C$14)+E8*Inputs!$C$7*Inputs!$C$21*(365/Inputs!$C$15)+E9*Inputs!$C$7*Inputs!$C$22*(365/Inputs!$C$16))*Inputs!$C$6,0)</f>
        <v/>
      </c>
      <c r="F13" s="159">
        <f>ROUND((F6*Inputs!$C$7*Inputs!$C$19*(365/Inputs!$C$13)+F7*Inputs!$C$7*Inputs!$C$20*(365/Inputs!$C$14)+F8*Inputs!$C$7*Inputs!$C$21*(365/Inputs!$C$15)+F9*Inputs!$C$7*Inputs!$C$22*(365/Inputs!$C$16))*Inputs!$C$6,0)</f>
        <v/>
      </c>
    </row>
    <row r="14" ht="15" customHeight="1" s="97">
      <c r="B14" s="160" t="inlineStr">
        <is>
          <t>Net ROI ($)</t>
        </is>
      </c>
      <c r="C14" s="161">
        <f>C13-C12</f>
        <v/>
      </c>
      <c r="D14" s="161">
        <f>D13-D12</f>
        <v/>
      </c>
      <c r="E14" s="161">
        <f>E13-E12</f>
        <v/>
      </c>
      <c r="F14" s="161">
        <f>F13-F12</f>
        <v/>
      </c>
    </row>
    <row r="15" ht="15" customHeight="1" s="97">
      <c r="B15" s="154" t="inlineStr">
        <is>
          <t>ROI %</t>
        </is>
      </c>
      <c r="C15" s="162">
        <f>IFERROR(C14/C12,0)</f>
        <v/>
      </c>
      <c r="D15" s="162">
        <f>IFERROR(D14/D12,0)</f>
        <v/>
      </c>
      <c r="E15" s="162">
        <f>IFERROR(E14/E12,0)</f>
        <v/>
      </c>
      <c r="F15" s="162">
        <f>IFERROR(F14/F12,0)</f>
        <v/>
      </c>
    </row>
    <row r="16" ht="15" customHeight="1" s="97">
      <c r="B16" s="152" t="inlineStr">
        <is>
          <t>ROI per HCP ($)</t>
        </is>
      </c>
      <c r="C16" s="158">
        <f>IFERROR(C14/C10,0)</f>
        <v/>
      </c>
      <c r="D16" s="158">
        <f>IFERROR(D14/D10,0)</f>
        <v/>
      </c>
      <c r="E16" s="158">
        <f>IFERROR(E14/E10,0)</f>
        <v/>
      </c>
      <c r="F16" s="158">
        <f>IFERROR(F14/F10,0)</f>
        <v/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96" min="1" max="1"/>
    <col width="28" customWidth="1" style="96" min="2" max="2"/>
    <col width="18" customWidth="1" style="96" min="3" max="5"/>
    <col width="4" customWidth="1" style="96" min="6" max="6"/>
  </cols>
  <sheetData>
    <row r="2" ht="31.5" customHeight="1" s="97">
      <c r="B2" s="108" t="inlineStr">
        <is>
          <t>SCENARIO ANALYSIS — BASE / OPTIMISTIC / PESSIMISTIC</t>
        </is>
      </c>
    </row>
    <row r="5" ht="27.75" customHeight="1" s="97">
      <c r="B5" s="118" t="inlineStr">
        <is>
          <t>Assumption</t>
        </is>
      </c>
      <c r="C5" s="143" t="inlineStr">
        <is>
          <t>Base Case</t>
        </is>
      </c>
      <c r="D5" s="163" t="inlineStr">
        <is>
          <t>Optimistic</t>
        </is>
      </c>
      <c r="E5" s="164" t="inlineStr">
        <is>
          <t>Pessimistic</t>
        </is>
      </c>
    </row>
    <row r="6" ht="15" customHeight="1" s="97">
      <c r="B6" s="152" t="inlineStr">
        <is>
          <t>Call adherence rate (%)</t>
        </is>
      </c>
      <c r="C6" s="165">
        <f>Inputs!$C$9*Inputs!$C$10*5/Inputs!$C$8</f>
        <v/>
      </c>
      <c r="D6" s="166" t="n">
        <v>1.15</v>
      </c>
      <c r="E6" s="166" t="n">
        <v>0.7</v>
      </c>
    </row>
    <row r="7" ht="15" customHeight="1" s="97">
      <c r="B7" s="154" t="inlineStr">
        <is>
          <t>Rx lift multiplier</t>
        </is>
      </c>
      <c r="C7" s="167" t="n">
        <v>1</v>
      </c>
      <c r="D7" s="167" t="n">
        <v>1.3</v>
      </c>
      <c r="E7" s="167" t="n">
        <v>0.7</v>
      </c>
    </row>
    <row r="8" ht="15" customHeight="1" s="97">
      <c r="B8" s="152" t="inlineStr">
        <is>
          <t>Cost per call ($)</t>
        </is>
      </c>
      <c r="C8" s="168">
        <f>Inputs!$C$5</f>
        <v/>
      </c>
      <c r="D8" s="166" t="n">
        <v>0.9</v>
      </c>
      <c r="E8" s="166" t="n">
        <v>1.15</v>
      </c>
    </row>
    <row r="9" ht="15" customHeight="1" s="97">
      <c r="B9" s="154" t="inlineStr">
        <is>
          <t>HCP segment mix — HV %</t>
        </is>
      </c>
      <c r="C9" s="169">
        <f>Inputs!$C$25/Inputs!$C$8</f>
        <v/>
      </c>
      <c r="D9" s="167" t="n">
        <v>0.18</v>
      </c>
      <c r="E9" s="167" t="n">
        <v>0.08</v>
      </c>
    </row>
    <row r="11" ht="25.5" customHeight="1" s="97">
      <c r="B11" s="170" t="inlineStr">
        <is>
          <t>SCENARIO OUTPUTS</t>
        </is>
      </c>
    </row>
    <row r="12" ht="15" customHeight="1" s="97">
      <c r="B12" s="152" t="inlineStr">
        <is>
          <t>Annual call cost ($)</t>
        </is>
      </c>
      <c r="C12" s="168">
        <f>Inputs!$C$5*ROUND(Inputs!$C$25*(365/Inputs!$C$13)+Inputs!$C$26*(365/Inputs!$C$14)+Inputs!$C$27*(365/Inputs!$C$15)+Inputs!$C$28*(365/Inputs!$C$16),0)</f>
        <v/>
      </c>
      <c r="D12" s="140">
        <f>C12*0.9</f>
        <v/>
      </c>
      <c r="E12" s="140">
        <f>C12*1.15</f>
        <v/>
      </c>
    </row>
    <row r="13" ht="15" customHeight="1" s="97">
      <c r="B13" s="154" t="inlineStr">
        <is>
          <t>Revenue lift ($)</t>
        </is>
      </c>
      <c r="C13" s="171">
        <f>'Segment ROI'!G10</f>
        <v/>
      </c>
      <c r="D13" s="172">
        <f>C13*1.3</f>
        <v/>
      </c>
      <c r="E13" s="172">
        <f>C13*0.7</f>
        <v/>
      </c>
    </row>
    <row r="14" ht="15" customHeight="1" s="97">
      <c r="B14" s="160" t="inlineStr">
        <is>
          <t>Net ROI ($)</t>
        </is>
      </c>
      <c r="C14" s="173">
        <f>C12-C11</f>
        <v/>
      </c>
      <c r="D14" s="174">
        <f>D13-D12</f>
        <v/>
      </c>
      <c r="E14" s="174">
        <f>E13-E12</f>
        <v/>
      </c>
    </row>
    <row r="15" ht="15" customHeight="1" s="97">
      <c r="B15" s="154" t="inlineStr">
        <is>
          <t>ROI %</t>
        </is>
      </c>
      <c r="C15" s="169">
        <f>IFERROR(C12/C11,0)</f>
        <v/>
      </c>
      <c r="D15" s="175">
        <f>IFERROR(D12/D11,0)</f>
        <v/>
      </c>
      <c r="E15" s="175">
        <f>IFERROR(E12/E11,0)</f>
        <v/>
      </c>
    </row>
    <row r="16" ht="15" customHeight="1" s="97">
      <c r="B16" s="152" t="inlineStr">
        <is>
          <t>Incremental Rx fills</t>
        </is>
      </c>
      <c r="C16" s="138">
        <f>'Segment ROI'!F10</f>
        <v/>
      </c>
      <c r="D16" s="139">
        <f>C16*1.3</f>
        <v/>
      </c>
      <c r="E16" s="139">
        <f>C16*0.7</f>
        <v/>
      </c>
    </row>
  </sheetData>
  <mergeCells count="2">
    <mergeCell ref="B11:E11"/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96" min="1" max="1"/>
    <col width="20" customWidth="1" style="96" min="2" max="2"/>
    <col width="14" customWidth="1" style="96" min="3" max="6"/>
    <col width="20" customWidth="1" style="96" min="7" max="7"/>
    <col width="42" customWidth="1" style="96" min="8" max="8"/>
  </cols>
  <sheetData>
    <row r="2" ht="31.5" customHeight="1" s="97">
      <c r="B2" s="108" t="inlineStr">
        <is>
          <t>HCP PRIORITY MATRIX — VALUE vs CALL EFFORT</t>
        </is>
      </c>
    </row>
    <row r="5" ht="36" customHeight="1" s="97">
      <c r="B5" s="176" t="inlineStr">
        <is>
          <t>Segment</t>
        </is>
      </c>
      <c r="C5" s="176" t="inlineStr">
        <is>
          <t>HCPs</t>
        </is>
      </c>
      <c r="D5" s="176" t="inlineStr">
        <is>
          <t>Annual Calls
per HCP</t>
        </is>
      </c>
      <c r="E5" s="176" t="inlineStr">
        <is>
          <t>Call Cost
per HCP ($)</t>
        </is>
      </c>
      <c r="F5" s="176" t="inlineStr">
        <is>
          <t>Rev Lift
per HCP ($)</t>
        </is>
      </c>
      <c r="G5" s="176" t="inlineStr">
        <is>
          <t>Net ROI
per HCP ($)</t>
        </is>
      </c>
      <c r="H5" s="176" t="inlineStr">
        <is>
          <t>Prioritisation Decision</t>
        </is>
      </c>
    </row>
    <row r="6" ht="37.5" customHeight="1" s="97">
      <c r="B6" s="119" t="inlineStr">
        <is>
          <t>High Value</t>
        </is>
      </c>
      <c r="C6" s="120">
        <f>Inputs!C25</f>
        <v/>
      </c>
      <c r="D6" s="177">
        <f>ROUND(365/Inputs!C13,1)</f>
        <v/>
      </c>
      <c r="E6" s="178">
        <f>ROUND((365/Inputs!C13)*Inputs!$C$5,0)</f>
        <v/>
      </c>
      <c r="F6" s="178">
        <f>ROUND(Inputs!$C$7*Inputs!C19*(365/Inputs!C13)*Inputs!$C$6,0)</f>
        <v/>
      </c>
      <c r="G6" s="179">
        <f>F6-E6</f>
        <v/>
      </c>
      <c r="H6" s="180" t="inlineStr">
        <is>
          <t>INVEST FIRST — Highest volume, defend at all costs. Personal relationship priority.</t>
        </is>
      </c>
    </row>
    <row r="7" ht="37.5" customHeight="1" s="97">
      <c r="B7" s="125" t="inlineStr">
        <is>
          <t>Growth</t>
        </is>
      </c>
      <c r="C7" s="126">
        <f>Inputs!C26</f>
        <v/>
      </c>
      <c r="D7" s="181">
        <f>ROUND(365/Inputs!C14,1)</f>
        <v/>
      </c>
      <c r="E7" s="182">
        <f>ROUND((365/Inputs!C14)*Inputs!$C$5,0)</f>
        <v/>
      </c>
      <c r="F7" s="182">
        <f>ROUND(Inputs!$C$7*Inputs!C20*(365/Inputs!C14)*Inputs!$C$6,0)</f>
        <v/>
      </c>
      <c r="G7" s="183">
        <f>F7-E7</f>
        <v/>
      </c>
      <c r="H7" s="184" t="inlineStr">
        <is>
          <t>PRIORITISE — Highest ROI per call. Converting prescribers = compounding future value.</t>
        </is>
      </c>
    </row>
    <row r="8" ht="37.5" customHeight="1" s="97">
      <c r="B8" s="131" t="inlineStr">
        <is>
          <t>Maintenance</t>
        </is>
      </c>
      <c r="C8" s="132">
        <f>Inputs!C27</f>
        <v/>
      </c>
      <c r="D8" s="185">
        <f>ROUND(365/Inputs!C15,1)</f>
        <v/>
      </c>
      <c r="E8" s="186">
        <f>ROUND((365/Inputs!C15)*Inputs!$C$5,0)</f>
        <v/>
      </c>
      <c r="F8" s="186">
        <f>ROUND(Inputs!$C$7*Inputs!C21*(365/Inputs!C15)*Inputs!$C$6,0)</f>
        <v/>
      </c>
      <c r="G8" s="187">
        <f>F8-E8</f>
        <v/>
      </c>
      <c r="H8" s="188" t="inlineStr">
        <is>
          <t>MAINTAIN — Sufficient cadence to preserve existing share. Don't over-invest.</t>
        </is>
      </c>
    </row>
    <row r="9" ht="37.5" customHeight="1" s="97">
      <c r="B9" s="137" t="inlineStr">
        <is>
          <t>Deprioritise</t>
        </is>
      </c>
      <c r="C9" s="138">
        <f>Inputs!C28</f>
        <v/>
      </c>
      <c r="D9" s="189">
        <f>ROUND(365/Inputs!C16,1)</f>
        <v/>
      </c>
      <c r="E9" s="158">
        <f>ROUND((365/Inputs!C16)*Inputs!$C$5,0)</f>
        <v/>
      </c>
      <c r="F9" s="158">
        <f>ROUND(Inputs!$C$7*Inputs!C22*(365/Inputs!C16)*Inputs!$C$6,0)</f>
        <v/>
      </c>
      <c r="G9" s="190">
        <f>F9-E9</f>
        <v/>
      </c>
      <c r="H9" s="191" t="inlineStr">
        <is>
          <t>MINIMAL TOUCH — Digital channels only. Redirect rep time to Growth &amp; HV segments.</t>
        </is>
      </c>
    </row>
    <row r="11" ht="30" customHeight="1" s="97">
      <c r="B11" s="192" t="inlineStr">
        <is>
          <t>Source: Call cost = Inputs!C5 ($180/call industry benchmark). Rx lift rates based on pharma CRM closed-loop measurement benchmarks.</t>
        </is>
      </c>
    </row>
  </sheetData>
  <mergeCells count="2">
    <mergeCell ref="B2:G2"/>
    <mergeCell ref="B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2026-06-30T19:45:26Z</dcterms:created>
  <dcterms:modified xmlns:dcterms="http://purl.org/dc/terms/" xmlns:xsi="http://www.w3.org/2001/XMLSchema-instance" xsi:type="dcterms:W3CDTF">2026-07-01T04:18:11Z</dcterms:modified>
  <cp:revision>0</cp:revision>
</cp:coreProperties>
</file>