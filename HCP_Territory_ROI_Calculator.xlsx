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Segment ROI" sheetId="3" state="visible" r:id="rId5"/>
    <sheet name="Territory Compare" sheetId="4" state="visible" r:id="rId6"/>
    <sheet name="Scenario Analysis" sheetId="5" state="visible" r:id="rId7"/>
    <sheet name="Priority Matrix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<sst xmlns="http://schemas.openxmlformats.org/spreadsheetml/2006/main" count="135" uniqueCount="118">
  <si>
    <t xml:space="preserve">HCP TERRITORY ROI CALCULATOR</t>
  </si>
  <si>
    <t xml:space="preserve">Pharma Commercial Analytics — Diabetes Portfolio</t>
  </si>
  <si>
    <t xml:space="preserve">HCP Targeting &amp; Brand Performance Analytics Project</t>
  </si>
  <si>
    <t xml:space="preserve">PURPOSE</t>
  </si>
  <si>
    <t xml:space="preserve">Model the commercial impact of HCP targeting decisions</t>
  </si>
  <si>
    <t xml:space="preserve">SCOPE</t>
  </si>
  <si>
    <t xml:space="preserve">4 HCP segments · 4 territories · 3 scenarios</t>
  </si>
  <si>
    <t xml:space="preserve">DATA SOURCE</t>
  </si>
  <si>
    <t xml:space="preserve">CMS Medicare Part D 2022; CMS Open Payments 2022</t>
  </si>
  <si>
    <t xml:space="preserve">WORKSHEET GUIDE</t>
  </si>
  <si>
    <t xml:space="preserve">1. Inputs</t>
  </si>
  <si>
    <t xml:space="preserve">All configurable assumptions — change these to model scenarios</t>
  </si>
  <si>
    <t xml:space="preserve">2. Segment ROI</t>
  </si>
  <si>
    <t xml:space="preserve">Per-segment call cost, Rx lift and ROI calculation</t>
  </si>
  <si>
    <t xml:space="preserve">3. Territory Compare</t>
  </si>
  <si>
    <t xml:space="preserve">Side-by-side ROI across 4 territory compositions</t>
  </si>
  <si>
    <t xml:space="preserve">4. Scenario Analysis</t>
  </si>
  <si>
    <t xml:space="preserve">Base / Optimistic / Pessimistic sensitivities</t>
  </si>
  <si>
    <t xml:space="preserve">5. Priority Matrix</t>
  </si>
  <si>
    <t xml:space="preserve">Which HCPs to target first — value vs effort quadrant</t>
  </si>
  <si>
    <t xml:space="preserve">COLOUR KEY</t>
  </si>
  <si>
    <t xml:space="preserve">■</t>
  </si>
  <si>
    <t xml:space="preserve">Blue text — user input (change these)</t>
  </si>
  <si>
    <t xml:space="preserve">Black text — calculated formula (do not edit)</t>
  </si>
  <si>
    <t xml:space="preserve">Green text — cross-sheet link</t>
  </si>
  <si>
    <t xml:space="preserve">MODEL INPUTS — CHANGE THESE TO RUN SCENARIOS</t>
  </si>
  <si>
    <t xml:space="preserve">A. COST &amp; REVENUE ASSUMPTIONS</t>
  </si>
  <si>
    <t xml:space="preserve">Cost per field sales call ($)</t>
  </si>
  <si>
    <t xml:space="preserve">Source: Industry benchmark; Bain &amp; Company 2023</t>
  </si>
  <si>
    <t xml:space="preserve">Net revenue per branded Rx fill ($)</t>
  </si>
  <si>
    <t xml:space="preserve">Source: Avg branded diabetes Rx margin estimate</t>
  </si>
  <si>
    <t xml:space="preserve">Average fills per HCP per year (base)</t>
  </si>
  <si>
    <t xml:space="preserve">Baseline annual fills before intervention</t>
  </si>
  <si>
    <t xml:space="preserve">Rep territory size (HCPs)</t>
  </si>
  <si>
    <t xml:space="preserve">Total HCPs in a standard rep territory</t>
  </si>
  <si>
    <t xml:space="preserve">Working weeks per year</t>
  </si>
  <si>
    <t xml:space="preserve">Excludes 4 weeks PTO/training</t>
  </si>
  <si>
    <t xml:space="preserve">Calls per rep per day</t>
  </si>
  <si>
    <t xml:space="preserve">Average field calls per rep per day</t>
  </si>
  <si>
    <t xml:space="preserve">B. CALL CADENCE (days between visits)</t>
  </si>
  <si>
    <t xml:space="preserve">High Value — cadence (days)</t>
  </si>
  <si>
    <t xml:space="preserve">Every 4 weeks — defend Rx share</t>
  </si>
  <si>
    <t xml:space="preserve">Growth — cadence (days)</t>
  </si>
  <si>
    <t xml:space="preserve">Every 6 weeks — convert &amp; grow</t>
  </si>
  <si>
    <t xml:space="preserve">Maintenance — cadence (days)</t>
  </si>
  <si>
    <t xml:space="preserve">Every 12 weeks — keep warm</t>
  </si>
  <si>
    <t xml:space="preserve">Deprioritise — cadence (days)</t>
  </si>
  <si>
    <t xml:space="preserve">Every 6 months — minimal touch</t>
  </si>
  <si>
    <t xml:space="preserve">C. EXPECTED Rx LIFT PER CALL (% incremental fills)</t>
  </si>
  <si>
    <t xml:space="preserve">High Value — Rx lift per call (%)</t>
  </si>
  <si>
    <t xml:space="preserve">Defending existing high-volume prescribers</t>
  </si>
  <si>
    <t xml:space="preserve">Growth — Rx lift per call (%)</t>
  </si>
  <si>
    <t xml:space="preserve">Converting rising prescribers (highest marginal gain)</t>
  </si>
  <si>
    <t xml:space="preserve">Maintenance — Rx lift per call (%)</t>
  </si>
  <si>
    <t xml:space="preserve">Low marginal gain; calls preserve not grow</t>
  </si>
  <si>
    <t xml:space="preserve">Deprioritise — Rx lift per call (%)</t>
  </si>
  <si>
    <t xml:space="preserve">Minimal engagement value</t>
  </si>
  <si>
    <t xml:space="preserve">D. TERRITORY HCP MIX (number of HCPs per segment)</t>
  </si>
  <si>
    <t xml:space="preserve">High Value HCPs</t>
  </si>
  <si>
    <t xml:space="preserve">Approx 12% of territory — highest-priority accounts</t>
  </si>
  <si>
    <t xml:space="preserve">Growth HCPs</t>
  </si>
  <si>
    <t xml:space="preserve">Approx 18% — converting prescribers</t>
  </si>
  <si>
    <t xml:space="preserve">Maintenance HCPs</t>
  </si>
  <si>
    <t xml:space="preserve">Approx 36% — established, defending share</t>
  </si>
  <si>
    <t xml:space="preserve">Deprioritise HCPs</t>
  </si>
  <si>
    <t xml:space="preserve">Approx 34% — minimal commercial value</t>
  </si>
  <si>
    <t xml:space="preserve">Total HCPs (check)</t>
  </si>
  <si>
    <t xml:space="preserve">Should equal territory size input (C8)</t>
  </si>
  <si>
    <t xml:space="preserve">SEGMENT-LEVEL ROI ANALYSIS — ANNUAL TERRITORY VIEW</t>
  </si>
  <si>
    <t xml:space="preserve">All inputs pulled from Inputs sheet. Change assumptions there to update this model.</t>
  </si>
  <si>
    <t xml:space="preserve">Segment</t>
  </si>
  <si>
    <t xml:space="preserve">HCPs</t>
  </si>
  <si>
    <t xml:space="preserve">Calls/Year</t>
  </si>
  <si>
    <t xml:space="preserve">Call Cost ($)</t>
  </si>
  <si>
    <t xml:space="preserve">Rx Lift (fills)</t>
  </si>
  <si>
    <t xml:space="preserve">Revenue Lift ($)</t>
  </si>
  <si>
    <t xml:space="preserve">Net ROI ($)</t>
  </si>
  <si>
    <t xml:space="preserve">ROI %</t>
  </si>
  <si>
    <t xml:space="preserve">High Value</t>
  </si>
  <si>
    <t xml:space="preserve">Growth</t>
  </si>
  <si>
    <t xml:space="preserve">Maintenance</t>
  </si>
  <si>
    <t xml:space="preserve">Deprioritise</t>
  </si>
  <si>
    <t xml:space="preserve">TOTAL TERRITORY</t>
  </si>
  <si>
    <t xml:space="preserve">KEY INSIGHT: Growth segment typically delivers highest ROI per call — rising prescribers have highest marginal Rx lift from each visit.</t>
  </si>
  <si>
    <t xml:space="preserve">TERRITORY COMPOSITION COMPARISON — 4 TERRITORY TYPES</t>
  </si>
  <si>
    <t xml:space="preserve">Metric</t>
  </si>
  <si>
    <t xml:space="preserve">Balanced
(Base Case)</t>
  </si>
  <si>
    <t xml:space="preserve">High Value
Heavy</t>
  </si>
  <si>
    <t xml:space="preserve">Growth
Focused</t>
  </si>
  <si>
    <t xml:space="preserve">Maintenance
Mode</t>
  </si>
  <si>
    <t xml:space="preserve">Total HCPs</t>
  </si>
  <si>
    <t xml:space="preserve">Total Calls/Year</t>
  </si>
  <si>
    <t xml:space="preserve">Total Call Cost ($)</t>
  </si>
  <si>
    <t xml:space="preserve">ROI per HCP ($)</t>
  </si>
  <si>
    <t xml:space="preserve">SCENARIO ANALYSIS — BASE / OPTIMISTIC / PESSIMISTIC</t>
  </si>
  <si>
    <t xml:space="preserve">Assumption</t>
  </si>
  <si>
    <t xml:space="preserve">Base Case</t>
  </si>
  <si>
    <t xml:space="preserve">Optimistic</t>
  </si>
  <si>
    <t xml:space="preserve">Pessimistic</t>
  </si>
  <si>
    <t xml:space="preserve">Call adherence rate (%)</t>
  </si>
  <si>
    <t xml:space="preserve">Rx lift multiplier</t>
  </si>
  <si>
    <t xml:space="preserve">Cost per call ($)</t>
  </si>
  <si>
    <t xml:space="preserve">HCP segment mix — HV %</t>
  </si>
  <si>
    <t xml:space="preserve">SCENARIO OUTPUTS</t>
  </si>
  <si>
    <t xml:space="preserve">Annual call cost ($)</t>
  </si>
  <si>
    <t xml:space="preserve">Revenue lift ($)</t>
  </si>
  <si>
    <t xml:space="preserve">Incremental Rx fills</t>
  </si>
  <si>
    <t xml:space="preserve">HCP PRIORITY MATRIX — VALUE vs CALL EFFORT</t>
  </si>
  <si>
    <t xml:space="preserve">Annual Calls
per HCP</t>
  </si>
  <si>
    <t xml:space="preserve">Call Cost
per HCP ($)</t>
  </si>
  <si>
    <t xml:space="preserve">Rev Lift
per HCP ($)</t>
  </si>
  <si>
    <t xml:space="preserve">Net ROI
per HCP ($)</t>
  </si>
  <si>
    <t xml:space="preserve">Prioritisation Decision</t>
  </si>
  <si>
    <t xml:space="preserve">INVEST FIRST — Highest volume, defend at all costs. Personal relationship priority.</t>
  </si>
  <si>
    <t xml:space="preserve">PRIORITISE — Highest ROI per call. Converting prescribers = compounding future value.</t>
  </si>
  <si>
    <t xml:space="preserve">MAINTAIN — Sufficient cadence to preserve existing share. Don't over-invest.</t>
  </si>
  <si>
    <t xml:space="preserve">MINIMAL TOUCH — Digital channels only. Redirect rep time to Growth &amp; HV segments.</t>
  </si>
  <si>
    <t xml:space="preserve">Source: Call cost = Inputs!C5 ($180/call industry benchmark). Rx lift rates based on pharma CRM closed-loop measurement benchmarks.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</si>
</sst>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0.0%"/>
    <numFmt numFmtId="168" formatCode="\$#,##0;&quot;($&quot;#,##0\);\-"/>
    <numFmt numFmtId="169" formatCode="0.0%;\(0.0%\);\-"/>
    <numFmt numFmtId="170" formatCode="0.00"/>
    <numFmt numFmtId="171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3"/>
      <color rgb="FFFFFFFF"/>
      <name val="Arial"/>
      <family val="0"/>
      <charset val="1"/>
    </font>
    <font>
      <i val="true"/>
      <sz val="11"/>
      <color rgb="FF374151"/>
      <name val="Arial"/>
      <family val="0"/>
      <charset val="1"/>
    </font>
    <font>
      <b val="true"/>
      <sz val="11"/>
      <color rgb="FF003DA5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3DA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4"/>
      <color rgb="FF0000FF"/>
      <name val="Arial"/>
      <family val="0"/>
      <charset val="1"/>
    </font>
    <font>
      <sz val="14"/>
      <color rgb="FF000000"/>
      <name val="Arial"/>
      <family val="0"/>
      <charset val="1"/>
    </font>
    <font>
      <sz val="14"/>
      <color rgb="FF008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37415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3DA5"/>
        <bgColor rgb="FF005BAA"/>
      </patternFill>
    </fill>
    <fill>
      <patternFill patternType="solid">
        <fgColor rgb="FFF5F5F7"/>
        <bgColor rgb="FFEDFBF1"/>
      </patternFill>
    </fill>
    <fill>
      <patternFill patternType="solid">
        <fgColor rgb="FF005BAA"/>
        <bgColor rgb="FF0070C0"/>
      </patternFill>
    </fill>
    <fill>
      <patternFill patternType="solid">
        <fgColor rgb="FFFFFFFF"/>
        <bgColor rgb="FFFFF8ED"/>
      </patternFill>
    </fill>
    <fill>
      <patternFill patternType="solid">
        <fgColor rgb="FFFFF0EF"/>
        <bgColor rgb="FFFFF8ED"/>
      </patternFill>
    </fill>
    <fill>
      <patternFill patternType="solid">
        <fgColor rgb="FFEDFBF1"/>
        <bgColor rgb="FFF5F5F7"/>
      </patternFill>
    </fill>
    <fill>
      <patternFill patternType="solid">
        <fgColor rgb="FFFFF8ED"/>
        <bgColor rgb="FFFFF0EF"/>
      </patternFill>
    </fill>
    <fill>
      <patternFill patternType="solid">
        <fgColor rgb="FF374151"/>
        <bgColor rgb="FF333399"/>
      </patternFill>
    </fill>
    <fill>
      <patternFill patternType="solid">
        <fgColor rgb="FFE3EEFB"/>
        <bgColor rgb="FFF5F5F7"/>
      </patternFill>
    </fill>
    <fill>
      <patternFill patternType="solid">
        <fgColor rgb="FF0070C0"/>
        <bgColor rgb="FF005BAA"/>
      </patternFill>
    </fill>
    <fill>
      <patternFill patternType="solid">
        <fgColor rgb="FF1A7EC2"/>
        <bgColor rgb="FF0070C0"/>
      </patternFill>
    </fill>
    <fill>
      <patternFill patternType="solid">
        <fgColor rgb="FF1A7F38"/>
        <bgColor rgb="FF008000"/>
      </patternFill>
    </fill>
    <fill>
      <patternFill patternType="solid">
        <fgColor rgb="FFC6282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EC2"/>
      <rgbColor rgb="FFCCCCCC"/>
      <rgbColor rgb="FF888888"/>
      <rgbColor rgb="FF9999FF"/>
      <rgbColor rgb="FF993366"/>
      <rgbColor rgb="FFFFF8ED"/>
      <rgbColor rgb="FFE3EEFB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1A7F38"/>
      <rgbColor rgb="FF0000FF"/>
      <rgbColor rgb="FF00CCFF"/>
      <rgbColor rgb="FFEDFBF1"/>
      <rgbColor rgb="FFF5F5F7"/>
      <rgbColor rgb="FFFFF0EF"/>
      <rgbColor rgb="FF99CCFF"/>
      <rgbColor rgb="FFFF99CC"/>
      <rgbColor rgb="FFCC99FF"/>
      <rgbColor rgb="FFFFCC99"/>
      <rgbColor rgb="FF005BAA"/>
      <rgbColor rgb="FF33CCCC"/>
      <rgbColor rgb="FF99CC00"/>
      <rgbColor rgb="FFFFCC00"/>
      <rgbColor rgb="FFFF9900"/>
      <rgbColor rgb="FFFF6600"/>
      <rgbColor rgb="FF666699"/>
      <rgbColor rgb="FF969696"/>
      <rgbColor rgb="FF003DA5"/>
      <rgbColor rgb="FF339966"/>
      <rgbColor rgb="FF003300"/>
      <rgbColor rgb="FF333300"/>
      <rgbColor rgb="FFC62828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30"/>
  </cols>
  <sheetData>
    <row r="1" customFormat="false" ht="18" hidden="false" customHeight="true" outlineLevel="0" collapsed="false"/>
    <row r="2" customFormat="false" ht="48" hidden="false" customHeight="true" outlineLevel="0" collapsed="false">
      <c r="B2" s="1" t="s">
        <v>0</v>
      </c>
      <c r="C2" s="1"/>
    </row>
    <row r="3" customFormat="false" ht="27.75" hidden="false" customHeight="true" outlineLevel="0" collapsed="false">
      <c r="B3" s="2" t="s">
        <v>1</v>
      </c>
      <c r="C3" s="2"/>
    </row>
    <row r="4" customFormat="false" ht="21.75" hidden="false" customHeight="true" outlineLevel="0" collapsed="false">
      <c r="B4" s="3" t="s">
        <v>2</v>
      </c>
      <c r="C4" s="3"/>
    </row>
    <row r="5" customFormat="false" ht="18" hidden="false" customHeight="true" outlineLevel="0" collapsed="false"/>
    <row r="6" customFormat="false" ht="18" hidden="false" customHeight="true" outlineLevel="0" collapsed="false">
      <c r="B6" s="4" t="s">
        <v>3</v>
      </c>
      <c r="C6" s="5" t="s">
        <v>4</v>
      </c>
    </row>
    <row r="7" customFormat="false" ht="18" hidden="false" customHeight="true" outlineLevel="0" collapsed="false">
      <c r="B7" s="4" t="s">
        <v>5</v>
      </c>
      <c r="C7" s="5" t="s">
        <v>6</v>
      </c>
    </row>
    <row r="8" customFormat="false" ht="18" hidden="false" customHeight="true" outlineLevel="0" collapsed="false">
      <c r="B8" s="4" t="s">
        <v>7</v>
      </c>
      <c r="C8" s="5" t="s">
        <v>8</v>
      </c>
    </row>
    <row r="9" customFormat="false" ht="18" hidden="false" customHeight="true" outlineLevel="0" collapsed="false"/>
    <row r="10" customFormat="false" ht="18" hidden="false" customHeight="true" outlineLevel="0" collapsed="false">
      <c r="B10" s="6" t="s">
        <v>9</v>
      </c>
    </row>
    <row r="11" customFormat="false" ht="18" hidden="false" customHeight="true" outlineLevel="0" collapsed="false">
      <c r="B11" s="7" t="s">
        <v>10</v>
      </c>
      <c r="C11" s="5" t="s">
        <v>11</v>
      </c>
    </row>
    <row r="12" customFormat="false" ht="18" hidden="false" customHeight="true" outlineLevel="0" collapsed="false">
      <c r="B12" s="7" t="s">
        <v>12</v>
      </c>
      <c r="C12" s="5" t="s">
        <v>13</v>
      </c>
    </row>
    <row r="13" customFormat="false" ht="18" hidden="false" customHeight="true" outlineLevel="0" collapsed="false">
      <c r="B13" s="7" t="s">
        <v>14</v>
      </c>
      <c r="C13" s="5" t="s">
        <v>15</v>
      </c>
    </row>
    <row r="14" customFormat="false" ht="18" hidden="false" customHeight="true" outlineLevel="0" collapsed="false">
      <c r="B14" s="7" t="s">
        <v>16</v>
      </c>
      <c r="C14" s="5" t="s">
        <v>17</v>
      </c>
    </row>
    <row r="15" customFormat="false" ht="18" hidden="false" customHeight="true" outlineLevel="0" collapsed="false">
      <c r="B15" s="7" t="s">
        <v>18</v>
      </c>
      <c r="C15" s="5" t="s">
        <v>19</v>
      </c>
    </row>
    <row r="16" customFormat="false" ht="18" hidden="false" customHeight="true" outlineLevel="0" collapsed="false"/>
    <row r="17" customFormat="false" ht="18" hidden="false" customHeight="true" outlineLevel="0" collapsed="false">
      <c r="B17" s="6" t="s">
        <v>20</v>
      </c>
    </row>
    <row r="18" customFormat="false" ht="18" hidden="false" customHeight="true" outlineLevel="0" collapsed="false">
      <c r="B18" s="8" t="s">
        <v>21</v>
      </c>
      <c r="C18" s="5" t="s">
        <v>22</v>
      </c>
    </row>
    <row r="19" customFormat="false" ht="18" hidden="false" customHeight="true" outlineLevel="0" collapsed="false">
      <c r="B19" s="9" t="s">
        <v>21</v>
      </c>
      <c r="C19" s="5" t="s">
        <v>23</v>
      </c>
    </row>
    <row r="20" customFormat="false" ht="18" hidden="false" customHeight="true" outlineLevel="0" collapsed="false">
      <c r="B20" s="10" t="s">
        <v>21</v>
      </c>
      <c r="C20" s="5" t="s">
        <v>24</v>
      </c>
    </row>
  </sheetData>
  <mergeCells count="3">
    <mergeCell ref="B2:C2"/>
    <mergeCell ref="B3:C3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4"/>
  </cols>
  <sheetData>
    <row r="2" customFormat="false" ht="31.5" hidden="false" customHeight="true" outlineLevel="0" collapsed="false">
      <c r="B2" s="11" t="s">
        <v>25</v>
      </c>
      <c r="C2" s="11"/>
      <c r="D2" s="11"/>
    </row>
    <row r="4" customFormat="false" ht="24" hidden="false" customHeight="true" outlineLevel="0" collapsed="false">
      <c r="B4" s="12" t="s">
        <v>26</v>
      </c>
      <c r="C4" s="12"/>
      <c r="D4" s="12"/>
    </row>
    <row r="5" customFormat="false" ht="35.05" hidden="false" customHeight="false" outlineLevel="0" collapsed="false">
      <c r="B5" s="13" t="s">
        <v>27</v>
      </c>
      <c r="C5" s="14" t="n">
        <v>180</v>
      </c>
      <c r="D5" s="15" t="s">
        <v>28</v>
      </c>
    </row>
    <row r="6" customFormat="false" ht="35.05" hidden="false" customHeight="false" outlineLevel="0" collapsed="false">
      <c r="B6" s="13" t="s">
        <v>29</v>
      </c>
      <c r="C6" s="14" t="n">
        <v>45</v>
      </c>
      <c r="D6" s="15" t="s">
        <v>30</v>
      </c>
    </row>
    <row r="7" customFormat="false" ht="23.85" hidden="false" customHeight="false" outlineLevel="0" collapsed="false">
      <c r="B7" s="13" t="s">
        <v>31</v>
      </c>
      <c r="C7" s="16" t="n">
        <v>120</v>
      </c>
      <c r="D7" s="15" t="s">
        <v>32</v>
      </c>
    </row>
    <row r="8" customFormat="false" ht="23.85" hidden="false" customHeight="false" outlineLevel="0" collapsed="false">
      <c r="B8" s="13" t="s">
        <v>33</v>
      </c>
      <c r="C8" s="16" t="n">
        <v>250</v>
      </c>
      <c r="D8" s="15" t="s">
        <v>34</v>
      </c>
    </row>
    <row r="9" customFormat="false" ht="23.85" hidden="false" customHeight="false" outlineLevel="0" collapsed="false">
      <c r="B9" s="13" t="s">
        <v>35</v>
      </c>
      <c r="C9" s="16" t="n">
        <v>48</v>
      </c>
      <c r="D9" s="15" t="s">
        <v>36</v>
      </c>
    </row>
    <row r="10" customFormat="false" ht="23.85" hidden="false" customHeight="false" outlineLevel="0" collapsed="false">
      <c r="B10" s="13" t="s">
        <v>37</v>
      </c>
      <c r="C10" s="16" t="n">
        <v>6</v>
      </c>
      <c r="D10" s="15" t="s">
        <v>38</v>
      </c>
    </row>
    <row r="12" customFormat="false" ht="24" hidden="false" customHeight="true" outlineLevel="0" collapsed="false">
      <c r="B12" s="12" t="s">
        <v>39</v>
      </c>
      <c r="C12" s="12"/>
      <c r="D12" s="12"/>
    </row>
    <row r="13" customFormat="false" ht="23.85" hidden="false" customHeight="false" outlineLevel="0" collapsed="false">
      <c r="B13" s="13" t="s">
        <v>40</v>
      </c>
      <c r="C13" s="16" t="n">
        <v>28</v>
      </c>
      <c r="D13" s="15" t="s">
        <v>41</v>
      </c>
    </row>
    <row r="14" customFormat="false" ht="23.85" hidden="false" customHeight="false" outlineLevel="0" collapsed="false">
      <c r="B14" s="13" t="s">
        <v>42</v>
      </c>
      <c r="C14" s="16" t="n">
        <v>42</v>
      </c>
      <c r="D14" s="15" t="s">
        <v>43</v>
      </c>
    </row>
    <row r="15" customFormat="false" ht="23.85" hidden="false" customHeight="false" outlineLevel="0" collapsed="false">
      <c r="B15" s="13" t="s">
        <v>44</v>
      </c>
      <c r="C15" s="16" t="n">
        <v>84</v>
      </c>
      <c r="D15" s="15" t="s">
        <v>45</v>
      </c>
    </row>
    <row r="16" customFormat="false" ht="23.85" hidden="false" customHeight="false" outlineLevel="0" collapsed="false">
      <c r="B16" s="13" t="s">
        <v>46</v>
      </c>
      <c r="C16" s="16" t="n">
        <v>180</v>
      </c>
      <c r="D16" s="15" t="s">
        <v>47</v>
      </c>
    </row>
    <row r="18" customFormat="false" ht="24" hidden="false" customHeight="true" outlineLevel="0" collapsed="false">
      <c r="B18" s="12" t="s">
        <v>48</v>
      </c>
      <c r="C18" s="12"/>
      <c r="D18" s="12"/>
    </row>
    <row r="19" customFormat="false" ht="23.85" hidden="false" customHeight="false" outlineLevel="0" collapsed="false">
      <c r="B19" s="13" t="s">
        <v>49</v>
      </c>
      <c r="C19" s="17" t="n">
        <v>0.08</v>
      </c>
      <c r="D19" s="15" t="s">
        <v>50</v>
      </c>
    </row>
    <row r="20" customFormat="false" ht="35.05" hidden="false" customHeight="false" outlineLevel="0" collapsed="false">
      <c r="B20" s="13" t="s">
        <v>51</v>
      </c>
      <c r="C20" s="17" t="n">
        <v>0.12</v>
      </c>
      <c r="D20" s="15" t="s">
        <v>52</v>
      </c>
    </row>
    <row r="21" customFormat="false" ht="23.85" hidden="false" customHeight="false" outlineLevel="0" collapsed="false">
      <c r="B21" s="13" t="s">
        <v>53</v>
      </c>
      <c r="C21" s="17" t="n">
        <v>0.04</v>
      </c>
      <c r="D21" s="15" t="s">
        <v>54</v>
      </c>
    </row>
    <row r="22" customFormat="false" ht="23.85" hidden="false" customHeight="false" outlineLevel="0" collapsed="false">
      <c r="B22" s="13" t="s">
        <v>55</v>
      </c>
      <c r="C22" s="17" t="n">
        <v>0.02</v>
      </c>
      <c r="D22" s="15" t="s">
        <v>56</v>
      </c>
    </row>
    <row r="24" customFormat="false" ht="24" hidden="false" customHeight="true" outlineLevel="0" collapsed="false">
      <c r="B24" s="12" t="s">
        <v>57</v>
      </c>
      <c r="C24" s="12"/>
      <c r="D24" s="12"/>
    </row>
    <row r="25" customFormat="false" ht="23.85" hidden="false" customHeight="false" outlineLevel="0" collapsed="false">
      <c r="B25" s="13" t="s">
        <v>58</v>
      </c>
      <c r="C25" s="16" t="n">
        <v>30</v>
      </c>
      <c r="D25" s="15" t="s">
        <v>59</v>
      </c>
    </row>
    <row r="26" customFormat="false" ht="23.85" hidden="false" customHeight="false" outlineLevel="0" collapsed="false">
      <c r="B26" s="13" t="s">
        <v>60</v>
      </c>
      <c r="C26" s="16" t="n">
        <v>45</v>
      </c>
      <c r="D26" s="15" t="s">
        <v>61</v>
      </c>
    </row>
    <row r="27" customFormat="false" ht="35.05" hidden="false" customHeight="false" outlineLevel="0" collapsed="false">
      <c r="B27" s="13" t="s">
        <v>62</v>
      </c>
      <c r="C27" s="16" t="n">
        <v>90</v>
      </c>
      <c r="D27" s="15" t="s">
        <v>63</v>
      </c>
    </row>
    <row r="28" customFormat="false" ht="23.85" hidden="false" customHeight="false" outlineLevel="0" collapsed="false">
      <c r="B28" s="13" t="s">
        <v>64</v>
      </c>
      <c r="C28" s="16" t="n">
        <v>85</v>
      </c>
      <c r="D28" s="15" t="s">
        <v>65</v>
      </c>
    </row>
    <row r="30" customFormat="false" ht="15" hidden="false" customHeight="false" outlineLevel="0" collapsed="false">
      <c r="B30" s="5" t="s">
        <v>66</v>
      </c>
      <c r="C30" s="18" t="n">
        <f aca="false">C25+C26+C27+C28</f>
        <v>250</v>
      </c>
      <c r="D30" s="19" t="s">
        <v>67</v>
      </c>
    </row>
  </sheetData>
  <mergeCells count="5">
    <mergeCell ref="B2:D2"/>
    <mergeCell ref="B4:D4"/>
    <mergeCell ref="B12:D12"/>
    <mergeCell ref="B18:D18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6"/>
    <col collapsed="false" customWidth="true" hidden="false" outlineLevel="0" max="9" min="9" style="0" width="4"/>
  </cols>
  <sheetData>
    <row r="2" customFormat="false" ht="31.5" hidden="false" customHeight="true" outlineLevel="0" collapsed="false">
      <c r="B2" s="11" t="s">
        <v>68</v>
      </c>
      <c r="C2" s="11"/>
      <c r="D2" s="11"/>
      <c r="E2" s="11"/>
      <c r="F2" s="11"/>
      <c r="G2" s="11"/>
      <c r="H2" s="11"/>
    </row>
    <row r="3" customFormat="false" ht="15" hidden="false" customHeight="true" outlineLevel="0" collapsed="false">
      <c r="B3" s="20" t="s">
        <v>69</v>
      </c>
      <c r="C3" s="20"/>
      <c r="D3" s="20"/>
      <c r="E3" s="20"/>
      <c r="F3" s="20"/>
      <c r="G3" s="20"/>
      <c r="H3" s="20"/>
    </row>
    <row r="5" customFormat="false" ht="27.75" hidden="false" customHeight="true" outlineLevel="0" collapsed="false">
      <c r="B5" s="21" t="s">
        <v>70</v>
      </c>
      <c r="C5" s="21" t="s">
        <v>71</v>
      </c>
      <c r="D5" s="21" t="s">
        <v>72</v>
      </c>
      <c r="E5" s="21" t="s">
        <v>73</v>
      </c>
      <c r="F5" s="21" t="s">
        <v>74</v>
      </c>
      <c r="G5" s="21" t="s">
        <v>75</v>
      </c>
      <c r="H5" s="21" t="s">
        <v>76</v>
      </c>
      <c r="I5" s="21" t="s">
        <v>77</v>
      </c>
    </row>
    <row r="6" customFormat="false" ht="39.55" hidden="false" customHeight="false" outlineLevel="0" collapsed="false">
      <c r="B6" s="22" t="s">
        <v>78</v>
      </c>
      <c r="C6" s="23" t="n">
        <f aca="false">Inputs!C25</f>
        <v>30</v>
      </c>
      <c r="D6" s="24" t="n">
        <f aca="false">ROUND(Inputs!C25*(365/Inputs!C13),0)</f>
        <v>391</v>
      </c>
      <c r="E6" s="25" t="n">
        <f aca="false">D6*Inputs!$C$5</f>
        <v>70380</v>
      </c>
      <c r="F6" s="24" t="n">
        <f aca="false">ROUND(Inputs!C25*Inputs!$C$7*Inputs!C19*(365/Inputs!C13),0)</f>
        <v>3754</v>
      </c>
      <c r="G6" s="25" t="n">
        <f aca="false">F6*Inputs!$C$6</f>
        <v>168930</v>
      </c>
      <c r="H6" s="26" t="n">
        <f aca="false">G6-E6</f>
        <v>98550</v>
      </c>
      <c r="I6" s="27" t="n">
        <f aca="false">IFERROR((G6-E6)/E6,0)</f>
        <v>1.4002557544757</v>
      </c>
    </row>
    <row r="7" customFormat="false" ht="39.55" hidden="false" customHeight="false" outlineLevel="0" collapsed="false">
      <c r="B7" s="28" t="s">
        <v>79</v>
      </c>
      <c r="C7" s="29" t="n">
        <f aca="false">Inputs!C26</f>
        <v>45</v>
      </c>
      <c r="D7" s="30" t="n">
        <f aca="false">ROUND(Inputs!C26*(365/Inputs!C14),0)</f>
        <v>391</v>
      </c>
      <c r="E7" s="31" t="n">
        <f aca="false">D7*Inputs!$C$5</f>
        <v>70380</v>
      </c>
      <c r="F7" s="30" t="n">
        <f aca="false">ROUND(Inputs!C26*Inputs!$C$7*Inputs!C20*(365/Inputs!C14),0)</f>
        <v>5631</v>
      </c>
      <c r="G7" s="31" t="n">
        <f aca="false">F7*Inputs!$C$6</f>
        <v>253395</v>
      </c>
      <c r="H7" s="32" t="n">
        <f aca="false">G7-E7</f>
        <v>183015</v>
      </c>
      <c r="I7" s="33" t="n">
        <f aca="false">IFERROR((G7-E7)/E7,0)</f>
        <v>2.60038363171356</v>
      </c>
    </row>
    <row r="8" customFormat="false" ht="26.85" hidden="false" customHeight="false" outlineLevel="0" collapsed="false">
      <c r="B8" s="34" t="s">
        <v>80</v>
      </c>
      <c r="C8" s="35" t="n">
        <f aca="false">Inputs!C27</f>
        <v>90</v>
      </c>
      <c r="D8" s="36" t="n">
        <f aca="false">ROUND(Inputs!C27*(365/Inputs!C15),0)</f>
        <v>391</v>
      </c>
      <c r="E8" s="37" t="n">
        <f aca="false">D8*Inputs!$C$5</f>
        <v>70380</v>
      </c>
      <c r="F8" s="36" t="n">
        <f aca="false">ROUND(Inputs!C27*Inputs!$C$7*Inputs!C21*(365/Inputs!C15),0)</f>
        <v>1877</v>
      </c>
      <c r="G8" s="37" t="n">
        <f aca="false">F8*Inputs!$C$6</f>
        <v>84465</v>
      </c>
      <c r="H8" s="38" t="n">
        <f aca="false">G8-E8</f>
        <v>14085</v>
      </c>
      <c r="I8" s="39" t="n">
        <f aca="false">IFERROR((G8-E8)/E8,0)</f>
        <v>0.200127877237852</v>
      </c>
    </row>
    <row r="9" customFormat="false" ht="39.55" hidden="false" customHeight="false" outlineLevel="0" collapsed="false">
      <c r="B9" s="40" t="s">
        <v>81</v>
      </c>
      <c r="C9" s="41" t="n">
        <f aca="false">Inputs!C28</f>
        <v>85</v>
      </c>
      <c r="D9" s="42" t="n">
        <f aca="false">ROUND(Inputs!C28*(365/Inputs!C16),0)</f>
        <v>172</v>
      </c>
      <c r="E9" s="43" t="n">
        <f aca="false">D9*Inputs!$C$5</f>
        <v>30960</v>
      </c>
      <c r="F9" s="42" t="n">
        <f aca="false">ROUND(Inputs!C28*Inputs!$C$7*Inputs!C22*(365/Inputs!C16),0)</f>
        <v>414</v>
      </c>
      <c r="G9" s="43" t="n">
        <f aca="false">F9*Inputs!$C$6</f>
        <v>18630</v>
      </c>
      <c r="H9" s="44" t="n">
        <f aca="false">G9-E9</f>
        <v>-12330</v>
      </c>
      <c r="I9" s="45" t="n">
        <f aca="false">IFERROR((G9-E9)/E9,0)</f>
        <v>-0.398255813953488</v>
      </c>
    </row>
    <row r="10" customFormat="false" ht="25.5" hidden="false" customHeight="true" outlineLevel="0" collapsed="false">
      <c r="B10" s="46" t="s">
        <v>82</v>
      </c>
      <c r="C10" s="47" t="n">
        <f aca="false">SUM(C6:C9)</f>
        <v>250</v>
      </c>
      <c r="D10" s="47" t="n">
        <f aca="false">SUM(D6:D9)</f>
        <v>1345</v>
      </c>
      <c r="E10" s="48" t="n">
        <f aca="false">SUM(E6:E9)</f>
        <v>242100</v>
      </c>
      <c r="F10" s="47" t="n">
        <f aca="false">SUM(F6:F9)</f>
        <v>11676</v>
      </c>
      <c r="G10" s="48" t="n">
        <f aca="false">SUM(G6:G9)</f>
        <v>525420</v>
      </c>
      <c r="H10" s="49" t="n">
        <f aca="false">SUM(H6:H9)</f>
        <v>283320</v>
      </c>
      <c r="I10" s="50" t="n">
        <f aca="false">IFERROR(SUM(G6:G9)/SUM(E6:E9)-1,0)</f>
        <v>1.17026022304833</v>
      </c>
    </row>
    <row r="12" customFormat="false" ht="36" hidden="false" customHeight="true" outlineLevel="0" collapsed="false">
      <c r="B12" s="51" t="s">
        <v>83</v>
      </c>
      <c r="C12" s="51"/>
      <c r="D12" s="51"/>
      <c r="E12" s="51"/>
      <c r="F12" s="51"/>
      <c r="G12" s="51"/>
      <c r="H12" s="51"/>
    </row>
  </sheetData>
  <mergeCells count="3">
    <mergeCell ref="B2:H2"/>
    <mergeCell ref="B3:H3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6" min="3" style="0" width="18"/>
    <col collapsed="false" customWidth="true" hidden="false" outlineLevel="0" max="7" min="7" style="0" width="4"/>
  </cols>
  <sheetData>
    <row r="2" customFormat="false" ht="31.5" hidden="false" customHeight="true" outlineLevel="0" collapsed="false">
      <c r="B2" s="11" t="s">
        <v>84</v>
      </c>
      <c r="C2" s="11"/>
      <c r="D2" s="11"/>
      <c r="E2" s="11"/>
      <c r="F2" s="11"/>
    </row>
    <row r="5" customFormat="false" ht="36" hidden="false" customHeight="true" outlineLevel="0" collapsed="false">
      <c r="B5" s="21" t="s">
        <v>85</v>
      </c>
      <c r="C5" s="21" t="s">
        <v>86</v>
      </c>
      <c r="D5" s="52" t="s">
        <v>87</v>
      </c>
      <c r="E5" s="53" t="s">
        <v>88</v>
      </c>
      <c r="F5" s="54" t="s">
        <v>89</v>
      </c>
    </row>
    <row r="6" customFormat="false" ht="15" hidden="false" customHeight="false" outlineLevel="0" collapsed="false">
      <c r="B6" s="55" t="s">
        <v>58</v>
      </c>
      <c r="C6" s="56" t="n">
        <v>30</v>
      </c>
      <c r="D6" s="56" t="n">
        <v>70</v>
      </c>
      <c r="E6" s="56" t="n">
        <v>10</v>
      </c>
      <c r="F6" s="56" t="n">
        <v>10</v>
      </c>
    </row>
    <row r="7" customFormat="false" ht="15" hidden="false" customHeight="false" outlineLevel="0" collapsed="false">
      <c r="B7" s="57" t="s">
        <v>60</v>
      </c>
      <c r="C7" s="58" t="n">
        <v>45</v>
      </c>
      <c r="D7" s="58" t="n">
        <v>20</v>
      </c>
      <c r="E7" s="58" t="n">
        <v>90</v>
      </c>
      <c r="F7" s="58" t="n">
        <v>20</v>
      </c>
    </row>
    <row r="8" customFormat="false" ht="15" hidden="false" customHeight="false" outlineLevel="0" collapsed="false">
      <c r="B8" s="55" t="s">
        <v>62</v>
      </c>
      <c r="C8" s="56" t="n">
        <v>90</v>
      </c>
      <c r="D8" s="56" t="n">
        <v>60</v>
      </c>
      <c r="E8" s="56" t="n">
        <v>60</v>
      </c>
      <c r="F8" s="56" t="n">
        <v>160</v>
      </c>
    </row>
    <row r="9" customFormat="false" ht="15" hidden="false" customHeight="false" outlineLevel="0" collapsed="false">
      <c r="B9" s="57" t="s">
        <v>64</v>
      </c>
      <c r="C9" s="58" t="n">
        <v>85</v>
      </c>
      <c r="D9" s="58" t="n">
        <v>100</v>
      </c>
      <c r="E9" s="58" t="n">
        <v>90</v>
      </c>
      <c r="F9" s="58" t="n">
        <v>60</v>
      </c>
    </row>
    <row r="10" customFormat="false" ht="15" hidden="false" customHeight="false" outlineLevel="0" collapsed="false">
      <c r="B10" s="55" t="s">
        <v>90</v>
      </c>
      <c r="C10" s="59" t="n">
        <f aca="false">SUM(C6:C9)</f>
        <v>250</v>
      </c>
      <c r="D10" s="59" t="n">
        <f aca="false">SUM(D6:D9)</f>
        <v>250</v>
      </c>
      <c r="E10" s="59" t="n">
        <f aca="false">SUM(E6:E9)</f>
        <v>250</v>
      </c>
      <c r="F10" s="59" t="n">
        <f aca="false">SUM(F6:F9)</f>
        <v>250</v>
      </c>
    </row>
    <row r="11" customFormat="false" ht="15" hidden="false" customHeight="false" outlineLevel="0" collapsed="false">
      <c r="B11" s="57" t="s">
        <v>91</v>
      </c>
      <c r="C11" s="60" t="n">
        <f aca="false">ROUND(C6*(365/Inputs!$C$13)+C7*(365/Inputs!$C$14)+C8*(365/Inputs!$C$15)+C9*(365/Inputs!$C$16),0)</f>
        <v>1346</v>
      </c>
      <c r="D11" s="60" t="n">
        <f aca="false">ROUND(D6*(365/Inputs!$C$13)+D7*(365/Inputs!$C$14)+D8*(365/Inputs!$C$15)+D9*(365/Inputs!$C$16),0)</f>
        <v>1550</v>
      </c>
      <c r="E11" s="60" t="n">
        <f aca="false">ROUND(E6*(365/Inputs!$C$13)+E7*(365/Inputs!$C$14)+E8*(365/Inputs!$C$15)+E9*(365/Inputs!$C$16),0)</f>
        <v>1356</v>
      </c>
      <c r="F11" s="60" t="n">
        <f aca="false">ROUND(F6*(365/Inputs!$C$13)+F7*(365/Inputs!$C$14)+F8*(365/Inputs!$C$15)+F9*(365/Inputs!$C$16),0)</f>
        <v>1121</v>
      </c>
    </row>
    <row r="12" customFormat="false" ht="15" hidden="false" customHeight="false" outlineLevel="0" collapsed="false">
      <c r="B12" s="55" t="s">
        <v>92</v>
      </c>
      <c r="C12" s="61" t="n">
        <f aca="false">C11*Inputs!$C$5</f>
        <v>242280</v>
      </c>
      <c r="D12" s="61" t="n">
        <f aca="false">D11*Inputs!$C$5</f>
        <v>279000</v>
      </c>
      <c r="E12" s="61" t="n">
        <f aca="false">E11*Inputs!$C$5</f>
        <v>244080</v>
      </c>
      <c r="F12" s="61" t="n">
        <f aca="false">F11*Inputs!$C$5</f>
        <v>201780</v>
      </c>
    </row>
    <row r="13" customFormat="false" ht="15" hidden="false" customHeight="false" outlineLevel="0" collapsed="false">
      <c r="B13" s="57" t="s">
        <v>75</v>
      </c>
      <c r="C13" s="62" t="n">
        <f aca="false">ROUND((C6*Inputs!$C$7*Inputs!$C$19*(365/Inputs!$C$13)+C7*Inputs!$C$7*Inputs!$C$20*(365/Inputs!$C$14)+C8*Inputs!$C$7*Inputs!$C$21*(365/Inputs!$C$15)+C9*Inputs!$C$7*Inputs!$C$22*(365/Inputs!$C$16))*Inputs!$C$6,0)</f>
        <v>525444</v>
      </c>
      <c r="D13" s="62" t="n">
        <f aca="false">ROUND((D6*Inputs!$C$7*Inputs!$C$19*(365/Inputs!$C$13)+D7*Inputs!$C$7*Inputs!$C$20*(365/Inputs!$C$14)+D8*Inputs!$C$7*Inputs!$C$21*(365/Inputs!$C$15)+D9*Inputs!$C$7*Inputs!$C$22*(365/Inputs!$C$16))*Inputs!$C$6,0)</f>
        <v>585043</v>
      </c>
      <c r="E13" s="62" t="n">
        <f aca="false">ROUND((E6*Inputs!$C$7*Inputs!$C$19*(365/Inputs!$C$13)+E7*Inputs!$C$7*Inputs!$C$20*(365/Inputs!$C$14)+E8*Inputs!$C$7*Inputs!$C$21*(365/Inputs!$C$15)+E9*Inputs!$C$7*Inputs!$C$22*(365/Inputs!$C$16))*Inputs!$C$6,0)</f>
        <v>639167</v>
      </c>
      <c r="F13" s="62" t="n">
        <f aca="false">ROUND((F6*Inputs!$C$7*Inputs!$C$19*(365/Inputs!$C$13)+F7*Inputs!$C$7*Inputs!$C$20*(365/Inputs!$C$14)+F8*Inputs!$C$7*Inputs!$C$21*(365/Inputs!$C$15)+F9*Inputs!$C$7*Inputs!$C$22*(365/Inputs!$C$16))*Inputs!$C$6,0)</f>
        <v>332254</v>
      </c>
    </row>
    <row r="14" customFormat="false" ht="15" hidden="false" customHeight="false" outlineLevel="0" collapsed="false">
      <c r="B14" s="63" t="s">
        <v>76</v>
      </c>
      <c r="C14" s="64" t="n">
        <f aca="false">C13-C12</f>
        <v>283164</v>
      </c>
      <c r="D14" s="64" t="n">
        <f aca="false">D13-D12</f>
        <v>306043</v>
      </c>
      <c r="E14" s="64" t="n">
        <f aca="false">E13-E12</f>
        <v>395087</v>
      </c>
      <c r="F14" s="64" t="n">
        <f aca="false">F13-F12</f>
        <v>130474</v>
      </c>
    </row>
    <row r="15" customFormat="false" ht="15" hidden="false" customHeight="false" outlineLevel="0" collapsed="false">
      <c r="B15" s="57" t="s">
        <v>77</v>
      </c>
      <c r="C15" s="65" t="n">
        <f aca="false">IFERROR(C14/C12,0)</f>
        <v>1.16874690440812</v>
      </c>
      <c r="D15" s="65" t="n">
        <f aca="false">IFERROR(D14/D12,0)</f>
        <v>1.09692831541219</v>
      </c>
      <c r="E15" s="65" t="n">
        <f aca="false">IFERROR(E14/E12,0)</f>
        <v>1.618678302196</v>
      </c>
      <c r="F15" s="65" t="n">
        <f aca="false">IFERROR(F14/F12,0)</f>
        <v>0.646615125384082</v>
      </c>
    </row>
    <row r="16" customFormat="false" ht="15" hidden="false" customHeight="false" outlineLevel="0" collapsed="false">
      <c r="B16" s="55" t="s">
        <v>93</v>
      </c>
      <c r="C16" s="61" t="n">
        <f aca="false">IFERROR(C14/C10,0)</f>
        <v>1132.656</v>
      </c>
      <c r="D16" s="61" t="n">
        <f aca="false">IFERROR(D14/D10,0)</f>
        <v>1224.172</v>
      </c>
      <c r="E16" s="61" t="n">
        <f aca="false">IFERROR(E14/E10,0)</f>
        <v>1580.348</v>
      </c>
      <c r="F16" s="61" t="n">
        <f aca="false">IFERROR(F14/F10,0)</f>
        <v>521.896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5" min="3" style="0" width="18"/>
    <col collapsed="false" customWidth="true" hidden="false" outlineLevel="0" max="6" min="6" style="0" width="4"/>
  </cols>
  <sheetData>
    <row r="2" customFormat="false" ht="31.5" hidden="false" customHeight="true" outlineLevel="0" collapsed="false">
      <c r="B2" s="11" t="s">
        <v>94</v>
      </c>
      <c r="C2" s="11"/>
      <c r="D2" s="11"/>
      <c r="E2" s="11"/>
    </row>
    <row r="5" customFormat="false" ht="27.75" hidden="false" customHeight="true" outlineLevel="0" collapsed="false">
      <c r="B5" s="21" t="s">
        <v>95</v>
      </c>
      <c r="C5" s="46" t="s">
        <v>96</v>
      </c>
      <c r="D5" s="66" t="s">
        <v>97</v>
      </c>
      <c r="E5" s="67" t="s">
        <v>98</v>
      </c>
    </row>
    <row r="6" customFormat="false" ht="15" hidden="false" customHeight="false" outlineLevel="0" collapsed="false">
      <c r="B6" s="55" t="s">
        <v>99</v>
      </c>
      <c r="C6" s="68" t="n">
        <f aca="false">Inputs!$C$9*Inputs!$C$10*5/Inputs!$C$8</f>
        <v>5.76</v>
      </c>
      <c r="D6" s="69" t="n">
        <v>1.15</v>
      </c>
      <c r="E6" s="69" t="n">
        <v>0.7</v>
      </c>
    </row>
    <row r="7" customFormat="false" ht="15" hidden="false" customHeight="false" outlineLevel="0" collapsed="false">
      <c r="B7" s="57" t="s">
        <v>100</v>
      </c>
      <c r="C7" s="70" t="n">
        <v>1</v>
      </c>
      <c r="D7" s="70" t="n">
        <v>1.3</v>
      </c>
      <c r="E7" s="70" t="n">
        <v>0.7</v>
      </c>
    </row>
    <row r="8" customFormat="false" ht="15" hidden="false" customHeight="false" outlineLevel="0" collapsed="false">
      <c r="B8" s="55" t="s">
        <v>101</v>
      </c>
      <c r="C8" s="71" t="n">
        <f aca="false">Inputs!$C$5</f>
        <v>180</v>
      </c>
      <c r="D8" s="69" t="n">
        <v>0.9</v>
      </c>
      <c r="E8" s="69" t="n">
        <v>1.15</v>
      </c>
    </row>
    <row r="9" customFormat="false" ht="15" hidden="false" customHeight="false" outlineLevel="0" collapsed="false">
      <c r="B9" s="57" t="s">
        <v>102</v>
      </c>
      <c r="C9" s="72" t="n">
        <f aca="false">Inputs!$C$25/Inputs!$C$8</f>
        <v>0.12</v>
      </c>
      <c r="D9" s="70" t="n">
        <v>0.18</v>
      </c>
      <c r="E9" s="70" t="n">
        <v>0.08</v>
      </c>
    </row>
    <row r="11" customFormat="false" ht="25.5" hidden="false" customHeight="true" outlineLevel="0" collapsed="false">
      <c r="B11" s="73" t="s">
        <v>103</v>
      </c>
      <c r="C11" s="73"/>
      <c r="D11" s="73"/>
      <c r="E11" s="73"/>
    </row>
    <row r="12" customFormat="false" ht="15" hidden="false" customHeight="false" outlineLevel="0" collapsed="false">
      <c r="B12" s="55" t="s">
        <v>104</v>
      </c>
      <c r="C12" s="71" t="n">
        <f aca="false">Inputs!$C$5*ROUND(Inputs!$C$25*(365/Inputs!$C$13)+Inputs!$C$26*(365/Inputs!$C$14)+Inputs!$C$27*(365/Inputs!$C$15)+Inputs!$C$28*(365/Inputs!$C$16),0)</f>
        <v>242280</v>
      </c>
      <c r="D12" s="43" t="n">
        <f aca="false">C12*0.9</f>
        <v>218052</v>
      </c>
      <c r="E12" s="43" t="n">
        <f aca="false">C12*1.15</f>
        <v>278622</v>
      </c>
    </row>
    <row r="13" customFormat="false" ht="15" hidden="false" customHeight="false" outlineLevel="0" collapsed="false">
      <c r="B13" s="57" t="s">
        <v>105</v>
      </c>
      <c r="C13" s="74" t="n">
        <f aca="false">'Segment ROI'!G10</f>
        <v>525420</v>
      </c>
      <c r="D13" s="75" t="n">
        <f aca="false">C13*1.3</f>
        <v>683046</v>
      </c>
      <c r="E13" s="75" t="n">
        <f aca="false">C13*0.7</f>
        <v>367794</v>
      </c>
    </row>
    <row r="14" customFormat="false" ht="15" hidden="false" customHeight="false" outlineLevel="0" collapsed="false">
      <c r="B14" s="63" t="s">
        <v>76</v>
      </c>
      <c r="C14" s="76" t="n">
        <f aca="false">C12-C11</f>
        <v>242280</v>
      </c>
      <c r="D14" s="77" t="n">
        <f aca="false">D13-D12</f>
        <v>464994</v>
      </c>
      <c r="E14" s="77" t="n">
        <f aca="false">E13-E12</f>
        <v>89172</v>
      </c>
    </row>
    <row r="15" customFormat="false" ht="15" hidden="false" customHeight="false" outlineLevel="0" collapsed="false">
      <c r="B15" s="57" t="s">
        <v>77</v>
      </c>
      <c r="C15" s="72" t="n">
        <f aca="false">IFERROR(C12/C11,0)</f>
        <v>0</v>
      </c>
      <c r="D15" s="78" t="n">
        <f aca="false">IFERROR(D12/D11,0)</f>
        <v>0</v>
      </c>
      <c r="E15" s="78" t="n">
        <f aca="false">IFERROR(E12/E11,0)</f>
        <v>0</v>
      </c>
    </row>
    <row r="16" customFormat="false" ht="15" hidden="false" customHeight="false" outlineLevel="0" collapsed="false">
      <c r="B16" s="55" t="s">
        <v>106</v>
      </c>
      <c r="C16" s="41" t="n">
        <f aca="false">'Segment ROI'!F10</f>
        <v>11676</v>
      </c>
      <c r="D16" s="42" t="n">
        <f aca="false">C16*1.3</f>
        <v>15178.8</v>
      </c>
      <c r="E16" s="42" t="n">
        <f aca="false">C16*0.7</f>
        <v>8173.2</v>
      </c>
    </row>
  </sheetData>
  <mergeCells count="2">
    <mergeCell ref="B2:E2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6" min="3" style="0" width="14"/>
    <col collapsed="false" customWidth="true" hidden="false" outlineLevel="0" max="7" min="7" style="0" width="20"/>
    <col collapsed="false" customWidth="true" hidden="false" outlineLevel="0" max="8" min="8" style="0" width="4"/>
  </cols>
  <sheetData>
    <row r="2" customFormat="false" ht="31.5" hidden="false" customHeight="true" outlineLevel="0" collapsed="false">
      <c r="B2" s="11" t="s">
        <v>107</v>
      </c>
      <c r="C2" s="11"/>
      <c r="D2" s="11"/>
      <c r="E2" s="11"/>
      <c r="F2" s="11"/>
      <c r="G2" s="11"/>
    </row>
    <row r="5" customFormat="false" ht="36" hidden="false" customHeight="true" outlineLevel="0" collapsed="false">
      <c r="B5" s="79" t="s">
        <v>70</v>
      </c>
      <c r="C5" s="79" t="s">
        <v>71</v>
      </c>
      <c r="D5" s="79" t="s">
        <v>108</v>
      </c>
      <c r="E5" s="79" t="s">
        <v>109</v>
      </c>
      <c r="F5" s="79" t="s">
        <v>110</v>
      </c>
      <c r="G5" s="79" t="s">
        <v>111</v>
      </c>
      <c r="H5" s="79" t="s">
        <v>112</v>
      </c>
    </row>
    <row r="6" customFormat="false" ht="37.5" hidden="false" customHeight="true" outlineLevel="0" collapsed="false">
      <c r="B6" s="22" t="s">
        <v>78</v>
      </c>
      <c r="C6" s="23" t="n">
        <f aca="false">Inputs!C25</f>
        <v>30</v>
      </c>
      <c r="D6" s="80" t="n">
        <f aca="false">ROUND(365/Inputs!C13,1)</f>
        <v>13</v>
      </c>
      <c r="E6" s="81" t="n">
        <f aca="false">ROUND((365/Inputs!C13)*Inputs!$C$5,0)</f>
        <v>2346</v>
      </c>
      <c r="F6" s="81" t="n">
        <f aca="false">ROUND(Inputs!$C$7*Inputs!C19*(365/Inputs!C13)*Inputs!$C$6,0)</f>
        <v>5631</v>
      </c>
      <c r="G6" s="82" t="n">
        <f aca="false">F6-E6</f>
        <v>3285</v>
      </c>
      <c r="H6" s="83" t="s">
        <v>113</v>
      </c>
    </row>
    <row r="7" customFormat="false" ht="37.5" hidden="false" customHeight="true" outlineLevel="0" collapsed="false">
      <c r="B7" s="28" t="s">
        <v>79</v>
      </c>
      <c r="C7" s="29" t="n">
        <f aca="false">Inputs!C26</f>
        <v>45</v>
      </c>
      <c r="D7" s="84" t="n">
        <f aca="false">ROUND(365/Inputs!C14,1)</f>
        <v>8.7</v>
      </c>
      <c r="E7" s="85" t="n">
        <f aca="false">ROUND((365/Inputs!C14)*Inputs!$C$5,0)</f>
        <v>1564</v>
      </c>
      <c r="F7" s="85" t="n">
        <f aca="false">ROUND(Inputs!$C$7*Inputs!C20*(365/Inputs!C14)*Inputs!$C$6,0)</f>
        <v>5631</v>
      </c>
      <c r="G7" s="86" t="n">
        <f aca="false">F7-E7</f>
        <v>4067</v>
      </c>
      <c r="H7" s="87" t="s">
        <v>114</v>
      </c>
    </row>
    <row r="8" customFormat="false" ht="37.5" hidden="false" customHeight="true" outlineLevel="0" collapsed="false">
      <c r="B8" s="34" t="s">
        <v>80</v>
      </c>
      <c r="C8" s="35" t="n">
        <f aca="false">Inputs!C27</f>
        <v>90</v>
      </c>
      <c r="D8" s="88" t="n">
        <f aca="false">ROUND(365/Inputs!C15,1)</f>
        <v>4.3</v>
      </c>
      <c r="E8" s="89" t="n">
        <f aca="false">ROUND((365/Inputs!C15)*Inputs!$C$5,0)</f>
        <v>782</v>
      </c>
      <c r="F8" s="89" t="n">
        <f aca="false">ROUND(Inputs!$C$7*Inputs!C21*(365/Inputs!C15)*Inputs!$C$6,0)</f>
        <v>939</v>
      </c>
      <c r="G8" s="90" t="n">
        <f aca="false">F8-E8</f>
        <v>157</v>
      </c>
      <c r="H8" s="91" t="s">
        <v>115</v>
      </c>
    </row>
    <row r="9" customFormat="false" ht="37.5" hidden="false" customHeight="true" outlineLevel="0" collapsed="false">
      <c r="B9" s="40" t="s">
        <v>81</v>
      </c>
      <c r="C9" s="41" t="n">
        <f aca="false">Inputs!C28</f>
        <v>85</v>
      </c>
      <c r="D9" s="92" t="n">
        <f aca="false">ROUND(365/Inputs!C16,1)</f>
        <v>2</v>
      </c>
      <c r="E9" s="61" t="n">
        <f aca="false">ROUND((365/Inputs!C16)*Inputs!$C$5,0)</f>
        <v>365</v>
      </c>
      <c r="F9" s="61" t="n">
        <f aca="false">ROUND(Inputs!$C$7*Inputs!C22*(365/Inputs!C16)*Inputs!$C$6,0)</f>
        <v>219</v>
      </c>
      <c r="G9" s="93" t="n">
        <f aca="false">F9-E9</f>
        <v>-146</v>
      </c>
      <c r="H9" s="94" t="s">
        <v>116</v>
      </c>
    </row>
    <row r="11" customFormat="false" ht="30" hidden="false" customHeight="true" outlineLevel="0" collapsed="false">
      <c r="B11" s="95" t="s">
        <v>117</v>
      </c>
      <c r="C11" s="95"/>
      <c r="D11" s="95"/>
      <c r="E11" s="95"/>
      <c r="F11" s="95"/>
      <c r="G11" s="95"/>
    </row>
  </sheetData>
  <mergeCells count="2">
    <mergeCell ref="B2:G2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2026-06-30T19:45:26Z</dcterms:created>
  <dc:creator>openpyxl</dc:creator>
  <dc:description/>
  <dc:language>en-US</dc:language>
  <cp:lastModifiedBy/>
  <dcterms:modified xsi:type="dcterms:W3CDTF">2026-06-30T19:45:27Z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